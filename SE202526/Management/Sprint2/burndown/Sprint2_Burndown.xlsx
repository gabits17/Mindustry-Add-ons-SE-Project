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- 2" sheetId="1" r:id="rId4"/>
  </sheets>
  <definedNames/>
  <calcPr/>
  <extLst>
    <ext uri="GoogleSheetsCustomDataVersion2">
      <go:sheetsCustomData xmlns:go="http://customooxmlschemas.google.com/" r:id="rId5" roundtripDataChecksum="Eo7JbcC0EG0HEiSaIwfcXku+UMjUpltRM786EWh0q48="/>
    </ext>
  </extLst>
</workbook>
</file>

<file path=xl/sharedStrings.xml><?xml version="1.0" encoding="utf-8"?>
<sst xmlns="http://schemas.openxmlformats.org/spreadsheetml/2006/main" count="25" uniqueCount="25">
  <si>
    <t>Sprint 2 Burndown Chart</t>
  </si>
  <si>
    <t>Sprint 1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</si>
  <si>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</si>
  <si>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</si>
  <si>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</si>
  <si>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</si>
  <si>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</si>
  <si>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</si>
  <si>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</si>
  <si>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</si>
  <si>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</si>
  <si>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</si>
  <si>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</si>
  <si>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T1: Play the first area of the game</t>
  </si>
  <si>
    <t>T2: Read through the classes in the codebase.</t>
  </si>
  <si>
    <t xml:space="preserve">T7: Make feature goals more specific.
</t>
  </si>
  <si>
    <t>T8: Brainstorm further features for replacement (if necessary).</t>
  </si>
  <si>
    <t>T9: Study code associated to undo/redo feature</t>
  </si>
  <si>
    <t xml:space="preserve">T10: Study code associated to water piping system.
</t>
  </si>
  <si>
    <t>T11: Define functionality 1</t>
  </si>
  <si>
    <t>T12: Define functionality 2.</t>
  </si>
  <si>
    <t>T13: Define functionality 3.</t>
  </si>
  <si>
    <t>Esforço Completo</t>
  </si>
  <si>
    <t>Esforço Restante</t>
  </si>
  <si>
    <r>
      <rPr>
        <rFont val="Calibri"/>
        <b/>
        <i/>
        <color theme="1"/>
        <sz val="11.0"/>
      </rPr>
      <t xml:space="preserve">Burndown </t>
    </r>
    <r>
      <rPr>
        <rFont val="Calibri"/>
        <b/>
        <color theme="1"/>
        <sz val="11.0"/>
      </rPr>
      <t>Ideal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</si>
</sst>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20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rgb="FF3F3F3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3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2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1" fillId="4" fontId="4" numFmtId="0" xfId="0" applyAlignment="1" applyBorder="1" applyFill="1" applyFont="1">
      <alignment horizontal="center"/>
    </xf>
    <xf borderId="12" fillId="3" fontId="4" numFmtId="15" xfId="0" applyAlignment="1" applyBorder="1" applyFont="1" applyNumberForma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5" fillId="4" fontId="4" numFmtId="0" xfId="0" applyAlignment="1" applyBorder="1" applyFont="1">
      <alignment horizontal="center"/>
    </xf>
    <xf borderId="16" fillId="3" fontId="4" numFmtId="0" xfId="0" applyAlignment="1" applyBorder="1" applyFont="1">
      <alignment horizontal="center"/>
    </xf>
    <xf borderId="17" fillId="3" fontId="4" numFmtId="0" xfId="0" applyAlignment="1" applyBorder="1" applyFont="1">
      <alignment horizontal="center"/>
    </xf>
    <xf borderId="15" fillId="3" fontId="4" numFmtId="0" xfId="0" applyAlignment="1" applyBorder="1" applyFont="1">
      <alignment horizontal="center"/>
    </xf>
    <xf borderId="12" fillId="5" fontId="3" numFmtId="0" xfId="0" applyAlignment="1" applyBorder="1" applyFill="1" applyFont="1">
      <alignment horizontal="right" readingOrder="0" shrinkToFit="0" wrapText="1"/>
    </xf>
    <xf borderId="0" fillId="0" fontId="5" numFmtId="0" xfId="0" applyAlignment="1" applyFont="1">
      <alignment horizontal="left" shrinkToFit="0" wrapText="1"/>
    </xf>
    <xf borderId="11" fillId="6" fontId="3" numFmtId="0" xfId="0" applyAlignment="1" applyBorder="1" applyFill="1" applyFont="1">
      <alignment horizontal="center" readingOrder="0"/>
    </xf>
    <xf borderId="12" fillId="7" fontId="3" numFmtId="0" xfId="0" applyAlignment="1" applyBorder="1" applyFill="1" applyFont="1">
      <alignment horizontal="center" readingOrder="0"/>
    </xf>
    <xf borderId="18" fillId="7" fontId="3" numFmtId="0" xfId="0" applyAlignment="1" applyBorder="1" applyFont="1">
      <alignment horizontal="center"/>
    </xf>
    <xf borderId="11" fillId="7" fontId="3" numFmtId="0" xfId="0" applyAlignment="1" applyBorder="1" applyFont="1">
      <alignment horizontal="center"/>
    </xf>
    <xf borderId="19" fillId="5" fontId="3" numFmtId="0" xfId="0" applyAlignment="1" applyBorder="1" applyFont="1">
      <alignment horizontal="right" readingOrder="0" shrinkToFit="0" wrapText="1"/>
    </xf>
    <xf borderId="20" fillId="6" fontId="3" numFmtId="0" xfId="0" applyAlignment="1" applyBorder="1" applyFont="1">
      <alignment horizontal="center" readingOrder="0"/>
    </xf>
    <xf borderId="21" fillId="7" fontId="3" numFmtId="0" xfId="0" applyAlignment="1" applyBorder="1" applyFont="1">
      <alignment horizontal="center"/>
    </xf>
    <xf borderId="22" fillId="7" fontId="3" numFmtId="0" xfId="0" applyAlignment="1" applyBorder="1" applyFont="1">
      <alignment horizontal="center" readingOrder="0"/>
    </xf>
    <xf borderId="22" fillId="7" fontId="3" numFmtId="0" xfId="0" applyAlignment="1" applyBorder="1" applyFont="1">
      <alignment horizontal="center"/>
    </xf>
    <xf borderId="20" fillId="7" fontId="3" numFmtId="0" xfId="0" applyAlignment="1" applyBorder="1" applyFont="1">
      <alignment horizontal="center" readingOrder="0"/>
    </xf>
    <xf borderId="0" fillId="0" fontId="5" numFmtId="0" xfId="0" applyAlignment="1" applyFont="1">
      <alignment horizontal="left" readingOrder="0" shrinkToFit="0" wrapText="1"/>
    </xf>
    <xf borderId="19" fillId="7" fontId="3" numFmtId="0" xfId="0" applyAlignment="1" applyBorder="1" applyFont="1">
      <alignment horizontal="center" readingOrder="0"/>
    </xf>
    <xf borderId="19" fillId="7" fontId="3" numFmtId="0" xfId="0" applyAlignment="1" applyBorder="1" applyFont="1">
      <alignment horizontal="center"/>
    </xf>
    <xf borderId="20" fillId="7" fontId="3" numFmtId="0" xfId="0" applyAlignment="1" applyBorder="1" applyFont="1">
      <alignment horizontal="center"/>
    </xf>
    <xf borderId="23" fillId="8" fontId="4" numFmtId="0" xfId="0" applyAlignment="1" applyBorder="1" applyFill="1" applyFont="1">
      <alignment horizontal="center" shrinkToFit="0" wrapText="1"/>
    </xf>
    <xf borderId="24" fillId="0" fontId="2" numFmtId="0" xfId="0" applyBorder="1" applyFont="1"/>
    <xf borderId="11" fillId="8" fontId="3" numFmtId="0" xfId="0" applyAlignment="1" applyBorder="1" applyFont="1">
      <alignment horizontal="center"/>
    </xf>
    <xf borderId="12" fillId="8" fontId="3" numFmtId="0" xfId="0" applyAlignment="1" applyBorder="1" applyFont="1">
      <alignment horizontal="center"/>
    </xf>
    <xf borderId="25" fillId="8" fontId="3" numFmtId="0" xfId="0" applyAlignment="1" applyBorder="1" applyFont="1">
      <alignment horizontal="center"/>
    </xf>
    <xf borderId="26" fillId="8" fontId="3" numFmtId="0" xfId="0" applyAlignment="1" applyBorder="1" applyFont="1">
      <alignment horizontal="center"/>
    </xf>
    <xf borderId="18" fillId="8" fontId="3" numFmtId="0" xfId="0" applyAlignment="1" applyBorder="1" applyFont="1">
      <alignment horizontal="center"/>
    </xf>
    <xf borderId="27" fillId="9" fontId="4" numFmtId="0" xfId="0" applyAlignment="1" applyBorder="1" applyFill="1" applyFont="1">
      <alignment horizontal="center"/>
    </xf>
    <xf borderId="28" fillId="0" fontId="2" numFmtId="0" xfId="0" applyBorder="1" applyFont="1"/>
    <xf borderId="20" fillId="9" fontId="3" numFmtId="0" xfId="0" applyAlignment="1" applyBorder="1" applyFont="1">
      <alignment horizontal="center"/>
    </xf>
    <xf borderId="19" fillId="9" fontId="3" numFmtId="164" xfId="0" applyAlignment="1" applyBorder="1" applyFont="1" applyNumberFormat="1">
      <alignment horizontal="center"/>
    </xf>
    <xf borderId="22" fillId="9" fontId="3" numFmtId="164" xfId="0" applyAlignment="1" applyBorder="1" applyFont="1" applyNumberFormat="1">
      <alignment horizontal="center"/>
    </xf>
    <xf borderId="20" fillId="9" fontId="3" numFmtId="164" xfId="0" applyAlignment="1" applyBorder="1" applyFont="1" applyNumberFormat="1">
      <alignment horizontal="center"/>
    </xf>
    <xf borderId="29" fillId="9" fontId="3" numFmtId="164" xfId="0" applyAlignment="1" applyBorder="1" applyFont="1" applyNumberFormat="1">
      <alignment horizontal="center"/>
    </xf>
    <xf borderId="30" fillId="10" fontId="4" numFmtId="0" xfId="0" applyAlignment="1" applyBorder="1" applyFill="1" applyFont="1">
      <alignment horizontal="center"/>
    </xf>
    <xf borderId="31" fillId="0" fontId="2" numFmtId="0" xfId="0" applyBorder="1" applyFont="1"/>
    <xf borderId="15" fillId="10" fontId="3" numFmtId="0" xfId="0" applyAlignment="1" applyBorder="1" applyFont="1">
      <alignment horizontal="center"/>
    </xf>
    <xf borderId="16" fillId="10" fontId="3" numFmtId="164" xfId="0" applyAlignment="1" applyBorder="1" applyFont="1" applyNumberFormat="1">
      <alignment horizontal="center"/>
    </xf>
    <xf borderId="32" fillId="1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'Burndown Chart - 2'!$D$5:$K$5</c:f>
            </c:strRef>
          </c:cat>
          <c:val>
            <c:numRef>
              <c:f>'Burndown Chart - 2'!$D$15:$K$15</c:f>
              <c:numCache/>
            </c:numRef>
          </c:val>
        </c:ser>
        <c:overlap val="100"/>
        <c:axId val="758771535"/>
        <c:axId val="592304814"/>
      </c:barChart>
      <c:lineChart>
        <c:ser>
          <c:idx val="1"/>
          <c:order val="1"/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- 2'!$D$5:$K$5</c:f>
            </c:strRef>
          </c:cat>
          <c:val>
            <c:numRef>
              <c:f>'Burndown Chart - 2'!$D$16:$K$16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- 2'!$D$5:$K$5</c:f>
            </c:strRef>
          </c:cat>
          <c:val>
            <c:numRef>
              <c:f>'Burndown Chart - 2'!$D$17:$K$17</c:f>
              <c:numCache/>
            </c:numRef>
          </c:val>
          <c:smooth val="0"/>
        </c:ser>
        <c:axId val="758771535"/>
        <c:axId val="592304814"/>
      </c:lineChart>
      <c:catAx>
        <c:axId val="75877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2304814"/>
      </c:catAx>
      <c:valAx>
        <c:axId val="592304814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877153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18</xdr:row>
      <xdr:rowOff>171450</xdr:rowOff>
    </xdr:from>
    <xdr:ext cx="9639300" cy="4886325"/>
    <xdr:graphicFrame>
      <xdr:nvGraphicFramePr>
        <xdr:cNvPr id="198145627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3" width="73.14"/>
    <col customWidth="1" min="4" max="4" width="15.71"/>
    <col customWidth="1" min="5" max="11" width="10.0"/>
    <col customWidth="1" min="12" max="21" width="8.71"/>
  </cols>
  <sheetData>
    <row r="1" ht="14.25" customHeight="1"/>
    <row r="2" ht="23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  <c r="M2" s="4"/>
    </row>
    <row r="3" ht="14.25" customHeight="1">
      <c r="B3" s="5"/>
      <c r="C3" s="6"/>
      <c r="D3" s="6"/>
      <c r="E3" s="7" t="s">
        <v>1</v>
      </c>
      <c r="F3" s="8"/>
      <c r="G3" s="8"/>
      <c r="H3" s="8"/>
      <c r="I3" s="8"/>
      <c r="J3" s="8"/>
      <c r="K3" s="8"/>
      <c r="L3" s="9"/>
    </row>
    <row r="4" ht="14.25" customHeight="1">
      <c r="B4" s="10" t="s">
        <v>2</v>
      </c>
      <c r="C4" s="11" t="s">
        <v>3</v>
      </c>
      <c r="D4" s="12" t="s">
        <v>4</v>
      </c>
      <c r="E4" s="13">
        <v>45950.0</v>
      </c>
      <c r="F4" s="13">
        <v>45951.0</v>
      </c>
      <c r="G4" s="13">
        <v>45952.0</v>
      </c>
      <c r="H4" s="13">
        <v>45953.0</v>
      </c>
      <c r="I4" s="13">
        <v>45954.0</v>
      </c>
      <c r="J4" s="13">
        <v>45955.0</v>
      </c>
      <c r="K4" s="13">
        <v>45956.0</v>
      </c>
      <c r="L4" s="9"/>
    </row>
    <row r="5" ht="14.25" customHeight="1">
      <c r="B5" s="14"/>
      <c r="C5" s="15"/>
      <c r="D5" s="16" t="s">
        <v>5</v>
      </c>
      <c r="E5" s="17" t="s">
        <v>6</v>
      </c>
      <c r="F5" s="18" t="s">
        <v>7</v>
      </c>
      <c r="G5" s="18" t="s">
        <v>8</v>
      </c>
      <c r="H5" s="18" t="s">
        <v>9</v>
      </c>
      <c r="I5" s="19" t="s">
        <v>10</v>
      </c>
      <c r="J5" s="18" t="s">
        <v>11</v>
      </c>
      <c r="K5" s="19" t="s">
        <v>12</v>
      </c>
      <c r="L5" s="9"/>
    </row>
    <row r="6" ht="14.25" customHeight="1">
      <c r="B6" s="20">
        <v>1.0</v>
      </c>
      <c r="C6" s="21" t="s">
        <v>13</v>
      </c>
      <c r="D6" s="22">
        <v>0.5</v>
      </c>
      <c r="E6" s="23">
        <v>0.1</v>
      </c>
      <c r="F6" s="24"/>
      <c r="G6" s="24"/>
      <c r="H6" s="24"/>
      <c r="I6" s="25"/>
      <c r="J6" s="24"/>
      <c r="K6" s="24"/>
    </row>
    <row r="7" ht="14.25" customHeight="1">
      <c r="B7" s="26">
        <v>2.0</v>
      </c>
      <c r="C7" s="21" t="s">
        <v>14</v>
      </c>
      <c r="D7" s="27">
        <v>1.0</v>
      </c>
      <c r="E7" s="28"/>
      <c r="F7" s="29">
        <v>0.3</v>
      </c>
      <c r="G7" s="30"/>
      <c r="H7" s="29">
        <v>0.3</v>
      </c>
      <c r="I7" s="31">
        <v>0.3</v>
      </c>
      <c r="J7" s="30"/>
      <c r="K7" s="30"/>
    </row>
    <row r="8" ht="14.25" customHeight="1">
      <c r="B8" s="26">
        <v>7.0</v>
      </c>
      <c r="C8" s="32" t="s">
        <v>15</v>
      </c>
      <c r="D8" s="27">
        <v>2.0</v>
      </c>
      <c r="E8" s="33">
        <v>0.1</v>
      </c>
      <c r="F8" s="29">
        <v>0.2</v>
      </c>
      <c r="G8" s="29"/>
      <c r="H8" s="30"/>
      <c r="I8" s="31">
        <v>1.7</v>
      </c>
      <c r="J8" s="30"/>
      <c r="K8" s="30"/>
    </row>
    <row r="9" ht="14.25" customHeight="1">
      <c r="B9" s="26">
        <v>8.0</v>
      </c>
      <c r="C9" s="32" t="s">
        <v>16</v>
      </c>
      <c r="D9" s="27">
        <v>1.0</v>
      </c>
      <c r="E9" s="34"/>
      <c r="F9" s="30"/>
      <c r="G9" s="30"/>
      <c r="H9" s="30"/>
      <c r="I9" s="31">
        <v>1.0</v>
      </c>
      <c r="J9" s="30"/>
      <c r="K9" s="30"/>
    </row>
    <row r="10" ht="14.25" customHeight="1">
      <c r="B10" s="26">
        <v>9.0</v>
      </c>
      <c r="C10" s="32" t="s">
        <v>17</v>
      </c>
      <c r="D10" s="27">
        <v>2.0</v>
      </c>
      <c r="E10" s="33">
        <v>2.0</v>
      </c>
      <c r="F10" s="29"/>
      <c r="G10" s="30"/>
      <c r="H10" s="29"/>
      <c r="I10" s="35"/>
      <c r="J10" s="30"/>
      <c r="K10" s="30"/>
    </row>
    <row r="11" ht="14.25" customHeight="1">
      <c r="B11" s="26">
        <v>11.0</v>
      </c>
      <c r="C11" s="32" t="s">
        <v>18</v>
      </c>
      <c r="D11" s="27">
        <v>3.0</v>
      </c>
      <c r="E11" s="34"/>
      <c r="F11" s="30"/>
      <c r="G11" s="30"/>
      <c r="H11" s="30"/>
      <c r="I11" s="35"/>
      <c r="J11" s="30"/>
      <c r="K11" s="30"/>
    </row>
    <row r="12" ht="14.25" customHeight="1">
      <c r="B12" s="26">
        <v>12.0</v>
      </c>
      <c r="C12" s="32" t="s">
        <v>19</v>
      </c>
      <c r="D12" s="27">
        <v>0.5</v>
      </c>
      <c r="E12" s="33">
        <v>0.2</v>
      </c>
      <c r="F12" s="30"/>
      <c r="G12" s="29">
        <v>0.3</v>
      </c>
      <c r="H12" s="30"/>
      <c r="I12" s="35"/>
      <c r="J12" s="30"/>
      <c r="K12" s="30"/>
    </row>
    <row r="13" ht="14.25" customHeight="1">
      <c r="B13" s="26">
        <v>13.0</v>
      </c>
      <c r="C13" s="32" t="s">
        <v>20</v>
      </c>
      <c r="D13" s="27">
        <v>0.5</v>
      </c>
      <c r="E13" s="34"/>
      <c r="F13" s="30"/>
      <c r="G13" s="29">
        <v>0.1</v>
      </c>
      <c r="H13" s="29">
        <v>0.1</v>
      </c>
      <c r="I13" s="31">
        <v>0.3</v>
      </c>
      <c r="J13" s="30"/>
      <c r="K13" s="30"/>
    </row>
    <row r="14" ht="14.25" customHeight="1">
      <c r="B14" s="26">
        <v>14.0</v>
      </c>
      <c r="C14" s="32" t="s">
        <v>21</v>
      </c>
      <c r="D14" s="27">
        <v>0.5</v>
      </c>
      <c r="E14" s="34"/>
      <c r="F14" s="30"/>
      <c r="G14" s="29">
        <v>0.3</v>
      </c>
      <c r="H14" s="30"/>
      <c r="I14" s="35"/>
      <c r="J14" s="30"/>
      <c r="K14" s="30"/>
    </row>
    <row r="15" ht="14.25" customHeight="1">
      <c r="B15" s="36" t="s">
        <v>22</v>
      </c>
      <c r="C15" s="37"/>
      <c r="D15" s="38">
        <v>0.0</v>
      </c>
      <c r="E15" s="39">
        <f t="shared" ref="E15:K15" si="1">SUM(E6:E14)</f>
        <v>2.4</v>
      </c>
      <c r="F15" s="40">
        <f t="shared" si="1"/>
        <v>0.5</v>
      </c>
      <c r="G15" s="40">
        <f t="shared" si="1"/>
        <v>0.7</v>
      </c>
      <c r="H15" s="40">
        <f t="shared" si="1"/>
        <v>0.4</v>
      </c>
      <c r="I15" s="41">
        <f t="shared" si="1"/>
        <v>3.3</v>
      </c>
      <c r="J15" s="42">
        <f t="shared" si="1"/>
        <v>0</v>
      </c>
      <c r="K15" s="40">
        <f t="shared" si="1"/>
        <v>0</v>
      </c>
    </row>
    <row r="16" ht="14.25" customHeight="1">
      <c r="B16" s="43" t="s">
        <v>23</v>
      </c>
      <c r="C16" s="44"/>
      <c r="D16" s="45">
        <f>SUM(D6:D15)</f>
        <v>11</v>
      </c>
      <c r="E16" s="46">
        <f t="shared" ref="E16:K16" si="2">D16-SUM(E6:E14)</f>
        <v>8.6</v>
      </c>
      <c r="F16" s="47">
        <f t="shared" si="2"/>
        <v>8.1</v>
      </c>
      <c r="G16" s="47">
        <f t="shared" si="2"/>
        <v>7.4</v>
      </c>
      <c r="H16" s="47">
        <f t="shared" si="2"/>
        <v>7</v>
      </c>
      <c r="I16" s="48">
        <f t="shared" si="2"/>
        <v>3.7</v>
      </c>
      <c r="J16" s="49">
        <f t="shared" si="2"/>
        <v>3.7</v>
      </c>
      <c r="K16" s="49">
        <f t="shared" si="2"/>
        <v>3.7</v>
      </c>
    </row>
    <row r="17" ht="14.25" customHeight="1">
      <c r="B17" s="50" t="s">
        <v>24</v>
      </c>
      <c r="C17" s="51"/>
      <c r="D17" s="52">
        <f>D16</f>
        <v>11</v>
      </c>
      <c r="E17" s="53">
        <f>$D$17-($D$17/12*1)</f>
        <v>10.08333333</v>
      </c>
      <c r="F17" s="53">
        <f>$D$17-($D$17/12*2)</f>
        <v>9.166666667</v>
      </c>
      <c r="G17" s="53">
        <f>$D$17-($D$17/12*3)</f>
        <v>8.25</v>
      </c>
      <c r="H17" s="53">
        <f>$D$17-($D$17/12*4)</f>
        <v>7.333333333</v>
      </c>
      <c r="I17" s="54">
        <f>$D$17-($D$17/12*5)</f>
        <v>6.416666667</v>
      </c>
      <c r="J17" s="54">
        <f>$D$17-($D$17/12*6)</f>
        <v>5.5</v>
      </c>
      <c r="K17" s="53">
        <f>$D$17-($D$17/12*7)</f>
        <v>4.583333333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7">
    <mergeCell ref="B2:K2"/>
    <mergeCell ref="E3:K3"/>
    <mergeCell ref="B4:B5"/>
    <mergeCell ref="C4:C5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2021-11-14T17:33:15Z</dcterms:created>
  <dc:creator>Diogo Almeida</dc:creator>
</cp:coreProperties>
</file>