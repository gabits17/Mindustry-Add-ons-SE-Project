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rndown Chart Sprint1" sheetId="1" r:id="rId4"/>
    <sheet state="visible" name="Burndown Chart Sprint2" sheetId="2" r:id="rId5"/>
  </sheets>
  <definedNames/>
  <calcPr/>
</workbook>
</file>

<file path=xl/sharedStrings.xml><?xml version="1.0" encoding="utf-8"?>
<sst xmlns="http://schemas.openxmlformats.org/spreadsheetml/2006/main" count="52" uniqueCount="36">
  <si>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</si>
  <si>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</si>
  <si>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</si>
  <si>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</si>
  <si>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</si>
  <si>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</si>
  <si>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</si>
  <si>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</si>
  <si>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</si>
  <si>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</si>
  <si>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</si>
  <si>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</si>
  <si>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</si>
  <si>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</si>
  <si>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</si>
  <si>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</si>
  <si>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</si>
  <si>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</si>
  <si>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</si>
  <si>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</si>
  <si>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</si>
  <si>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</si>
  <si>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</si>
  <si>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</si>
  <si>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</si>
  <si>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</si>
  <si>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</si>
  <si>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</si>
  <si>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</si>
  <si>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</si>
  <si>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</si>
  <si>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</si>
  <si>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</si>
  <si>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</si>
  <si>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</si>
  <si>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rFont val="Calibri"/>
        <b/>
        <i/>
        <color theme="1"/>
        <sz val="11.0"/>
      </rPr>
      <t xml:space="preserve">Burndown </t>
    </r>
    <r>
      <rPr>
        <rFont val="Calibri"/>
        <b/>
        <color theme="1"/>
        <sz val="11.0"/>
      </rPr>
      <t>Ideal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</si>
</sst>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1.0"/>
      <color theme="1"/>
      <name val="Calibri"/>
      <scheme val="minor"/>
    </font>
    <font>
      <sz val="20.0"/>
      <color theme="0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b/>
      <sz val="11.0"/>
      <color rgb="FF3F3F3F"/>
      <name val="Calibri"/>
    </font>
    <font>
      <sz val="20.0"/>
      <color rgb="FFFFFFFF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38">
    <border/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3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2" numFmtId="0" xfId="0" applyBorder="1" applyFont="1"/>
    <xf borderId="8" fillId="0" fontId="3" numFmtId="0" xfId="0" applyBorder="1" applyFont="1"/>
    <xf borderId="9" fillId="3" fontId="4" numFmtId="0" xfId="0" applyAlignment="1" applyBorder="1" applyFill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1" fillId="4" fontId="4" numFmtId="0" xfId="0" applyAlignment="1" applyBorder="1" applyFill="1" applyFont="1">
      <alignment horizontal="center"/>
    </xf>
    <xf borderId="12" fillId="3" fontId="4" numFmtId="15" xfId="0" applyAlignment="1" applyBorder="1" applyFont="1" applyNumberFormat="1">
      <alignment horizontal="center"/>
    </xf>
    <xf borderId="13" fillId="3" fontId="4" numFmtId="15" xfId="0" applyAlignment="1" applyBorder="1" applyFont="1" applyNumberFormat="1">
      <alignment horizontal="center"/>
    </xf>
    <xf borderId="14" fillId="0" fontId="2" numFmtId="0" xfId="0" applyBorder="1" applyFont="1"/>
    <xf borderId="15" fillId="0" fontId="2" numFmtId="0" xfId="0" applyBorder="1" applyFont="1"/>
    <xf borderId="16" fillId="4" fontId="4" numFmtId="0" xfId="0" applyAlignment="1" applyBorder="1" applyFont="1">
      <alignment horizontal="center"/>
    </xf>
    <xf borderId="17" fillId="3" fontId="4" numFmtId="0" xfId="0" applyAlignment="1" applyBorder="1" applyFont="1">
      <alignment horizontal="center"/>
    </xf>
    <xf borderId="18" fillId="3" fontId="4" numFmtId="0" xfId="0" applyAlignment="1" applyBorder="1" applyFont="1">
      <alignment horizontal="center"/>
    </xf>
    <xf borderId="16" fillId="3" fontId="4" numFmtId="0" xfId="0" applyAlignment="1" applyBorder="1" applyFont="1">
      <alignment horizontal="center"/>
    </xf>
    <xf borderId="12" fillId="5" fontId="3" numFmtId="0" xfId="0" applyAlignment="1" applyBorder="1" applyFill="1" applyFont="1">
      <alignment horizontal="right" shrinkToFit="0" wrapText="1"/>
    </xf>
    <xf borderId="0" fillId="0" fontId="5" numFmtId="0" xfId="0" applyAlignment="1" applyFont="1">
      <alignment horizontal="left" shrinkToFit="0" wrapText="1"/>
    </xf>
    <xf borderId="11" fillId="6" fontId="3" numFmtId="0" xfId="0" applyAlignment="1" applyBorder="1" applyFill="1" applyFont="1">
      <alignment horizontal="center"/>
    </xf>
    <xf borderId="12" fillId="7" fontId="3" numFmtId="0" xfId="0" applyAlignment="1" applyBorder="1" applyFill="1" applyFont="1">
      <alignment horizontal="center"/>
    </xf>
    <xf borderId="19" fillId="7" fontId="3" numFmtId="0" xfId="0" applyAlignment="1" applyBorder="1" applyFont="1">
      <alignment horizontal="center"/>
    </xf>
    <xf borderId="11" fillId="7" fontId="3" numFmtId="0" xfId="0" applyAlignment="1" applyBorder="1" applyFont="1">
      <alignment horizontal="center"/>
    </xf>
    <xf borderId="20" fillId="7" fontId="3" numFmtId="0" xfId="0" applyAlignment="1" applyBorder="1" applyFont="1">
      <alignment horizontal="center"/>
    </xf>
    <xf borderId="21" fillId="5" fontId="3" numFmtId="0" xfId="0" applyAlignment="1" applyBorder="1" applyFont="1">
      <alignment horizontal="right" shrinkToFit="0" wrapText="1"/>
    </xf>
    <xf borderId="22" fillId="6" fontId="3" numFmtId="0" xfId="0" applyAlignment="1" applyBorder="1" applyFont="1">
      <alignment horizontal="center"/>
    </xf>
    <xf borderId="23" fillId="7" fontId="3" numFmtId="0" xfId="0" applyAlignment="1" applyBorder="1" applyFont="1">
      <alignment horizontal="center"/>
    </xf>
    <xf borderId="24" fillId="7" fontId="3" numFmtId="0" xfId="0" applyAlignment="1" applyBorder="1" applyFont="1">
      <alignment horizontal="center"/>
    </xf>
    <xf borderId="22" fillId="7" fontId="3" numFmtId="0" xfId="0" applyAlignment="1" applyBorder="1" applyFont="1">
      <alignment horizontal="center"/>
    </xf>
    <xf borderId="25" fillId="7" fontId="3" numFmtId="0" xfId="0" applyAlignment="1" applyBorder="1" applyFont="1">
      <alignment horizontal="center"/>
    </xf>
    <xf borderId="21" fillId="7" fontId="3" numFmtId="0" xfId="0" applyAlignment="1" applyBorder="1" applyFont="1">
      <alignment horizontal="center"/>
    </xf>
    <xf borderId="26" fillId="8" fontId="4" numFmtId="0" xfId="0" applyAlignment="1" applyBorder="1" applyFill="1" applyFont="1">
      <alignment horizontal="center" shrinkToFit="0" wrapText="1"/>
    </xf>
    <xf borderId="27" fillId="0" fontId="2" numFmtId="0" xfId="0" applyBorder="1" applyFont="1"/>
    <xf borderId="11" fillId="8" fontId="3" numFmtId="0" xfId="0" applyAlignment="1" applyBorder="1" applyFont="1">
      <alignment horizontal="center"/>
    </xf>
    <xf borderId="12" fillId="8" fontId="3" numFmtId="0" xfId="0" applyAlignment="1" applyBorder="1" applyFont="1">
      <alignment horizontal="center"/>
    </xf>
    <xf borderId="28" fillId="8" fontId="3" numFmtId="0" xfId="0" applyAlignment="1" applyBorder="1" applyFont="1">
      <alignment horizontal="center"/>
    </xf>
    <xf borderId="29" fillId="8" fontId="3" numFmtId="0" xfId="0" applyAlignment="1" applyBorder="1" applyFont="1">
      <alignment horizontal="center"/>
    </xf>
    <xf borderId="19" fillId="8" fontId="3" numFmtId="0" xfId="0" applyAlignment="1" applyBorder="1" applyFont="1">
      <alignment horizontal="center"/>
    </xf>
    <xf borderId="30" fillId="8" fontId="3" numFmtId="0" xfId="0" applyAlignment="1" applyBorder="1" applyFont="1">
      <alignment horizontal="center"/>
    </xf>
    <xf borderId="31" fillId="9" fontId="4" numFmtId="0" xfId="0" applyAlignment="1" applyBorder="1" applyFill="1" applyFont="1">
      <alignment horizontal="center"/>
    </xf>
    <xf borderId="32" fillId="0" fontId="2" numFmtId="0" xfId="0" applyBorder="1" applyFont="1"/>
    <xf borderId="22" fillId="9" fontId="3" numFmtId="0" xfId="0" applyAlignment="1" applyBorder="1" applyFont="1">
      <alignment horizontal="center"/>
    </xf>
    <xf borderId="21" fillId="9" fontId="3" numFmtId="164" xfId="0" applyAlignment="1" applyBorder="1" applyFont="1" applyNumberFormat="1">
      <alignment horizontal="center"/>
    </xf>
    <xf borderId="24" fillId="9" fontId="3" numFmtId="164" xfId="0" applyAlignment="1" applyBorder="1" applyFont="1" applyNumberFormat="1">
      <alignment horizontal="center"/>
    </xf>
    <xf borderId="22" fillId="9" fontId="3" numFmtId="164" xfId="0" applyAlignment="1" applyBorder="1" applyFont="1" applyNumberFormat="1">
      <alignment horizontal="center"/>
    </xf>
    <xf borderId="33" fillId="9" fontId="3" numFmtId="164" xfId="0" applyAlignment="1" applyBorder="1" applyFont="1" applyNumberFormat="1">
      <alignment horizontal="center"/>
    </xf>
    <xf borderId="34" fillId="9" fontId="3" numFmtId="164" xfId="0" applyAlignment="1" applyBorder="1" applyFont="1" applyNumberFormat="1">
      <alignment horizontal="center"/>
    </xf>
    <xf borderId="25" fillId="9" fontId="3" numFmtId="164" xfId="0" applyAlignment="1" applyBorder="1" applyFont="1" applyNumberFormat="1">
      <alignment horizontal="center"/>
    </xf>
    <xf borderId="35" fillId="10" fontId="4" numFmtId="0" xfId="0" applyAlignment="1" applyBorder="1" applyFill="1" applyFont="1">
      <alignment horizontal="center"/>
    </xf>
    <xf borderId="36" fillId="0" fontId="2" numFmtId="0" xfId="0" applyBorder="1" applyFont="1"/>
    <xf borderId="16" fillId="10" fontId="3" numFmtId="0" xfId="0" applyAlignment="1" applyBorder="1" applyFont="1">
      <alignment horizontal="center"/>
    </xf>
    <xf borderId="17" fillId="10" fontId="3" numFmtId="164" xfId="0" applyAlignment="1" applyBorder="1" applyFont="1" applyNumberFormat="1">
      <alignment horizontal="center"/>
    </xf>
    <xf borderId="37" fillId="10" fontId="3" numFmtId="164" xfId="0" applyAlignment="1" applyBorder="1" applyFont="1" applyNumberFormat="1">
      <alignment horizontal="center"/>
    </xf>
    <xf borderId="1" fillId="2" fontId="6" numFmtId="0" xfId="0" applyAlignment="1" applyBorder="1" applyFont="1">
      <alignment horizontal="center"/>
    </xf>
    <xf borderId="12" fillId="7" fontId="3" numFmtId="0" xfId="0" applyAlignment="1" applyBorder="1" applyFont="1">
      <alignment horizontal="center" readingOrder="0"/>
    </xf>
    <xf borderId="23" fillId="7" fontId="3" numFmtId="0" xfId="0" applyAlignment="1" applyBorder="1" applyFont="1">
      <alignment horizontal="center" readingOrder="0"/>
    </xf>
    <xf borderId="24" fillId="7" fontId="3" numFmtId="0" xfId="0" applyAlignment="1" applyBorder="1" applyFont="1">
      <alignment horizontal="center" readingOrder="0"/>
    </xf>
    <xf borderId="22" fillId="6" fontId="3" numFmtId="0" xfId="0" applyAlignment="1" applyBorder="1" applyFont="1">
      <alignment horizontal="center" readingOrder="0"/>
    </xf>
    <xf borderId="21" fillId="7" fontId="3" numFmtId="0" xfId="0" applyAlignment="1" applyBorder="1" applyFont="1">
      <alignment horizontal="center" readingOrder="0"/>
    </xf>
    <xf borderId="22" fillId="7" fontId="3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Sprint1'!$D$5:$P$5</c:f>
            </c:strRef>
          </c:cat>
          <c:val>
            <c:numRef>
              <c:f>'Burndown Chart Sprint1'!$D$12:$P$12</c:f>
              <c:numCache/>
            </c:numRef>
          </c:val>
        </c:ser>
        <c:overlap val="100"/>
        <c:axId val="116018610"/>
        <c:axId val="542915784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</c:strRef>
          </c:cat>
          <c:val>
            <c:numRef>
              <c:f>'Burndown Chart Sprint1'!$D$13:$P$13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</c:strRef>
          </c:cat>
          <c:val>
            <c:numRef>
              <c:f>'Burndown Chart Sprint1'!$D$14:$P$14</c:f>
              <c:numCache/>
            </c:numRef>
          </c:val>
          <c:smooth val="0"/>
        </c:ser>
        <c:axId val="116018610"/>
        <c:axId val="542915784"/>
      </c:lineChart>
      <c:catAx>
        <c:axId val="116018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42915784"/>
      </c:catAx>
      <c:valAx>
        <c:axId val="542915784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601861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cat>
            <c:strRef>
              <c:f>'Burndown Chart Sprint2'!$D$5:$K$5</c:f>
            </c:strRef>
          </c:cat>
          <c:val>
            <c:numRef>
              <c:f>'Burndown Chart Sprint2'!$D$15:$K$15</c:f>
              <c:numCache/>
            </c:numRef>
          </c:val>
        </c:ser>
        <c:overlap val="100"/>
        <c:axId val="1884353993"/>
        <c:axId val="23234096"/>
      </c:barChart>
      <c:lineChart>
        <c:ser>
          <c:idx val="1"/>
          <c:order val="1"/>
          <c:spPr>
            <a:ln cmpd="sng" w="28575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</c:strRef>
          </c:cat>
          <c:val>
            <c:numRef>
              <c:f>'Burndown Chart Sprint2'!$D$16:$K$16</c:f>
              <c:numCache/>
            </c:numRef>
          </c:val>
          <c:smooth val="0"/>
        </c:ser>
        <c:ser>
          <c:idx val="2"/>
          <c:order val="2"/>
          <c:spPr>
            <a:ln cmpd="sng" w="28575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</c:strRef>
          </c:cat>
          <c:val>
            <c:numRef>
              <c:f>'Burndown Chart Sprint2'!$D$17:$K$17</c:f>
              <c:numCache/>
            </c:numRef>
          </c:val>
          <c:smooth val="0"/>
        </c:ser>
        <c:axId val="1884353993"/>
        <c:axId val="23234096"/>
      </c:lineChart>
      <c:catAx>
        <c:axId val="1884353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3234096"/>
      </c:catAx>
      <c:valAx>
        <c:axId val="23234096"/>
        <c:scaling>
          <c:orientation val="minMax"/>
          <c:max val="1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8435399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2133600</xdr:colOff>
      <xdr:row>14</xdr:row>
      <xdr:rowOff>38100</xdr:rowOff>
    </xdr:from>
    <xdr:ext cx="9639300" cy="4886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457200</xdr:colOff>
      <xdr:row>18</xdr:row>
      <xdr:rowOff>171450</xdr:rowOff>
    </xdr:from>
    <xdr:ext cx="9639300" cy="48863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4" width="10.0"/>
    <col customWidth="1" min="15" max="15" width="9.71"/>
    <col customWidth="1" min="16" max="16" width="9.57"/>
    <col customWidth="1" min="17" max="18" width="8.71"/>
  </cols>
  <sheetData>
    <row r="1" ht="14.25" customHeight="1"/>
    <row r="2" ht="23.25" customHeight="1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/>
      <c r="R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</row>
    <row r="4" ht="14.25" customHeight="1">
      <c r="B4" s="10" t="s">
        <v>2</v>
      </c>
      <c r="C4" s="11" t="s">
        <v>3</v>
      </c>
      <c r="D4" s="12" t="s">
        <v>4</v>
      </c>
      <c r="E4" s="13">
        <v>45938.0</v>
      </c>
      <c r="F4" s="13">
        <v>45939.0</v>
      </c>
      <c r="G4" s="13">
        <v>45940.0</v>
      </c>
      <c r="H4" s="13">
        <v>45941.0</v>
      </c>
      <c r="I4" s="13">
        <v>45942.0</v>
      </c>
      <c r="J4" s="13">
        <v>45943.0</v>
      </c>
      <c r="K4" s="13">
        <v>45944.0</v>
      </c>
      <c r="L4" s="13">
        <v>45945.0</v>
      </c>
      <c r="M4" s="13">
        <v>45946.0</v>
      </c>
      <c r="N4" s="13">
        <v>45947.0</v>
      </c>
      <c r="O4" s="13">
        <v>45948.0</v>
      </c>
      <c r="P4" s="14">
        <v>45949.0</v>
      </c>
      <c r="Q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19" t="s">
        <v>13</v>
      </c>
      <c r="M5" s="20" t="s">
        <v>14</v>
      </c>
      <c r="N5" s="19" t="s">
        <v>15</v>
      </c>
      <c r="O5" s="20" t="s">
        <v>16</v>
      </c>
      <c r="P5" s="20" t="s">
        <v>17</v>
      </c>
      <c r="Q5" s="9"/>
    </row>
    <row r="6" ht="14.25" customHeight="1">
      <c r="B6" s="21">
        <v>1.0</v>
      </c>
      <c r="C6" s="22" t="s">
        <v>18</v>
      </c>
      <c r="D6" s="23">
        <v>3.0</v>
      </c>
      <c r="E6" s="24"/>
      <c r="F6" s="25"/>
      <c r="G6" s="25"/>
      <c r="H6" s="25">
        <v>1.0</v>
      </c>
      <c r="I6" s="26"/>
      <c r="J6" s="25"/>
      <c r="K6" s="25"/>
      <c r="L6" s="25">
        <v>1.0</v>
      </c>
      <c r="M6" s="25"/>
      <c r="N6" s="25"/>
      <c r="O6" s="25"/>
      <c r="P6" s="27"/>
    </row>
    <row r="7" ht="14.25" customHeight="1">
      <c r="B7" s="28">
        <v>4.0</v>
      </c>
      <c r="C7" s="22" t="s">
        <v>19</v>
      </c>
      <c r="D7" s="29">
        <v>6.0</v>
      </c>
      <c r="E7" s="30"/>
      <c r="F7" s="31">
        <v>1.0</v>
      </c>
      <c r="G7" s="31"/>
      <c r="H7" s="31"/>
      <c r="I7" s="32">
        <v>1.5</v>
      </c>
      <c r="J7" s="31">
        <v>0.2</v>
      </c>
      <c r="K7" s="31"/>
      <c r="L7" s="31">
        <v>0.4</v>
      </c>
      <c r="M7" s="31">
        <v>0.4</v>
      </c>
      <c r="N7" s="31"/>
      <c r="O7" s="31"/>
      <c r="P7" s="33"/>
    </row>
    <row r="8" ht="14.25" customHeight="1">
      <c r="B8" s="28">
        <v>10.0</v>
      </c>
      <c r="C8" s="22" t="s">
        <v>20</v>
      </c>
      <c r="D8" s="29">
        <v>1.0</v>
      </c>
      <c r="E8" s="34"/>
      <c r="F8" s="31"/>
      <c r="G8" s="31">
        <v>0.2</v>
      </c>
      <c r="H8" s="31">
        <v>0.4</v>
      </c>
      <c r="I8" s="32">
        <v>0.2</v>
      </c>
      <c r="J8" s="31">
        <v>0.1</v>
      </c>
      <c r="K8" s="31">
        <v>0.1</v>
      </c>
      <c r="L8" s="31"/>
      <c r="M8" s="31"/>
      <c r="N8" s="31"/>
      <c r="O8" s="31"/>
      <c r="P8" s="33"/>
    </row>
    <row r="9" ht="14.25" customHeight="1">
      <c r="B9" s="28">
        <v>11.0</v>
      </c>
      <c r="C9" s="22" t="s">
        <v>21</v>
      </c>
      <c r="D9" s="29">
        <v>1.0</v>
      </c>
      <c r="E9" s="34"/>
      <c r="F9" s="31"/>
      <c r="G9" s="31"/>
      <c r="H9" s="31"/>
      <c r="I9" s="32"/>
      <c r="J9" s="31"/>
      <c r="K9" s="31">
        <v>0.5</v>
      </c>
      <c r="L9" s="31">
        <v>0.5</v>
      </c>
      <c r="M9" s="31"/>
      <c r="N9" s="31"/>
      <c r="O9" s="31"/>
      <c r="P9" s="33"/>
    </row>
    <row r="10" ht="14.25" customHeight="1">
      <c r="B10" s="28">
        <v>12.0</v>
      </c>
      <c r="C10" s="22" t="s">
        <v>22</v>
      </c>
      <c r="D10" s="29">
        <v>1.0</v>
      </c>
      <c r="E10" s="34"/>
      <c r="F10" s="31"/>
      <c r="G10" s="31"/>
      <c r="H10" s="31"/>
      <c r="I10" s="32"/>
      <c r="J10" s="31"/>
      <c r="K10" s="31">
        <v>0.2</v>
      </c>
      <c r="L10" s="31"/>
      <c r="M10" s="31"/>
      <c r="N10" s="31">
        <v>0.5</v>
      </c>
      <c r="O10" s="31">
        <v>0.3</v>
      </c>
      <c r="P10" s="33"/>
    </row>
    <row r="11" ht="14.25" customHeight="1">
      <c r="B11" s="28">
        <v>13.0</v>
      </c>
      <c r="C11" s="22" t="s">
        <v>23</v>
      </c>
      <c r="D11" s="29">
        <v>2.0</v>
      </c>
      <c r="E11" s="34"/>
      <c r="F11" s="31"/>
      <c r="G11" s="31"/>
      <c r="H11" s="31"/>
      <c r="I11" s="32"/>
      <c r="J11" s="31"/>
      <c r="K11" s="31">
        <v>1.0</v>
      </c>
      <c r="L11" s="31">
        <v>0.7</v>
      </c>
      <c r="M11" s="31">
        <v>0.3</v>
      </c>
      <c r="N11" s="31"/>
      <c r="O11" s="31"/>
      <c r="P11" s="33"/>
    </row>
    <row r="12" ht="14.25" customHeight="1">
      <c r="B12" s="35" t="s">
        <v>24</v>
      </c>
      <c r="C12" s="36"/>
      <c r="D12" s="37">
        <v>0.0</v>
      </c>
      <c r="E12" s="38">
        <f t="shared" ref="E12:P12" si="1">SUM(E6:E11)</f>
        <v>0</v>
      </c>
      <c r="F12" s="39">
        <f t="shared" si="1"/>
        <v>1</v>
      </c>
      <c r="G12" s="39">
        <f t="shared" si="1"/>
        <v>0.2</v>
      </c>
      <c r="H12" s="39">
        <f t="shared" si="1"/>
        <v>1.4</v>
      </c>
      <c r="I12" s="40">
        <f t="shared" si="1"/>
        <v>1.7</v>
      </c>
      <c r="J12" s="41">
        <f t="shared" si="1"/>
        <v>0.3</v>
      </c>
      <c r="K12" s="39">
        <f t="shared" si="1"/>
        <v>1.8</v>
      </c>
      <c r="L12" s="39">
        <f t="shared" si="1"/>
        <v>2.6</v>
      </c>
      <c r="M12" s="39">
        <f t="shared" si="1"/>
        <v>0.7</v>
      </c>
      <c r="N12" s="41">
        <f t="shared" si="1"/>
        <v>0.5</v>
      </c>
      <c r="O12" s="39">
        <f t="shared" si="1"/>
        <v>0.3</v>
      </c>
      <c r="P12" s="42">
        <f t="shared" si="1"/>
        <v>0</v>
      </c>
    </row>
    <row r="13" ht="14.25" customHeight="1">
      <c r="B13" s="43" t="s">
        <v>25</v>
      </c>
      <c r="C13" s="44"/>
      <c r="D13" s="45">
        <f>SUM(D6:D12)</f>
        <v>14</v>
      </c>
      <c r="E13" s="46">
        <f t="shared" ref="E13:P13" si="2">D13-SUM(E6:E11)</f>
        <v>14</v>
      </c>
      <c r="F13" s="47">
        <f t="shared" si="2"/>
        <v>13</v>
      </c>
      <c r="G13" s="47">
        <f t="shared" si="2"/>
        <v>12.8</v>
      </c>
      <c r="H13" s="47">
        <f t="shared" si="2"/>
        <v>11.4</v>
      </c>
      <c r="I13" s="48">
        <f t="shared" si="2"/>
        <v>9.7</v>
      </c>
      <c r="J13" s="49">
        <f t="shared" si="2"/>
        <v>9.4</v>
      </c>
      <c r="K13" s="49">
        <f t="shared" si="2"/>
        <v>7.6</v>
      </c>
      <c r="L13" s="49">
        <f t="shared" si="2"/>
        <v>5</v>
      </c>
      <c r="M13" s="49">
        <f t="shared" si="2"/>
        <v>4.3</v>
      </c>
      <c r="N13" s="47">
        <f t="shared" si="2"/>
        <v>3.8</v>
      </c>
      <c r="O13" s="50">
        <f t="shared" si="2"/>
        <v>3.5</v>
      </c>
      <c r="P13" s="51">
        <f t="shared" si="2"/>
        <v>3.5</v>
      </c>
    </row>
    <row r="14" ht="14.25" customHeight="1">
      <c r="B14" s="52" t="s">
        <v>26</v>
      </c>
      <c r="C14" s="53"/>
      <c r="D14" s="54">
        <f>D13</f>
        <v>14</v>
      </c>
      <c r="E14" s="55">
        <f>$D$14-($D$14/12*1)</f>
        <v>12.83333333</v>
      </c>
      <c r="F14" s="55">
        <f>$D$14-($D$14/12*2)</f>
        <v>11.66666667</v>
      </c>
      <c r="G14" s="55">
        <f>$D$14-($D$14/12*3)</f>
        <v>10.5</v>
      </c>
      <c r="H14" s="55">
        <f>$D$14-($D$14/12*4)</f>
        <v>9.333333333</v>
      </c>
      <c r="I14" s="56">
        <f>$D$14-($D$14/12*5)</f>
        <v>8.166666667</v>
      </c>
      <c r="J14" s="56">
        <f>$D$14-($D$14/12*6)</f>
        <v>7</v>
      </c>
      <c r="K14" s="55">
        <f>$D$14-($D$14/12*7)</f>
        <v>5.833333333</v>
      </c>
      <c r="L14" s="55">
        <f>$D$14-($D$14/12*8)</f>
        <v>4.666666667</v>
      </c>
      <c r="M14" s="55">
        <f>$D$14-($D$14/12*9)</f>
        <v>3.5</v>
      </c>
      <c r="N14" s="56">
        <f>$D$14-($D$14/12*10)</f>
        <v>2.333333333</v>
      </c>
      <c r="O14" s="55">
        <f>$D$14-($D$14/12*11)</f>
        <v>1.166666667</v>
      </c>
      <c r="P14" s="56">
        <f>$D$14-($D$14/12*12)</f>
        <v>0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.14"/>
    <col customWidth="1" min="3" max="3" width="73.14"/>
    <col customWidth="1" min="4" max="4" width="15.71"/>
    <col customWidth="1" min="5" max="11" width="10.0"/>
    <col customWidth="1" min="12" max="13" width="8.71"/>
  </cols>
  <sheetData>
    <row r="1" ht="14.25" customHeight="1"/>
    <row r="2" ht="23.25" customHeight="1">
      <c r="B2" s="57" t="s">
        <v>27</v>
      </c>
      <c r="C2" s="2"/>
      <c r="D2" s="2"/>
      <c r="E2" s="2"/>
      <c r="F2" s="2"/>
      <c r="G2" s="2"/>
      <c r="H2" s="2"/>
      <c r="I2" s="2"/>
      <c r="J2" s="2"/>
      <c r="K2" s="3"/>
      <c r="M2" s="4"/>
    </row>
    <row r="3" ht="14.25" customHeight="1">
      <c r="B3" s="5"/>
      <c r="C3" s="6"/>
      <c r="D3" s="6"/>
      <c r="E3" s="7" t="s">
        <v>1</v>
      </c>
      <c r="F3" s="8"/>
      <c r="G3" s="8"/>
      <c r="H3" s="8"/>
      <c r="I3" s="8"/>
      <c r="J3" s="8"/>
      <c r="K3" s="8"/>
      <c r="L3" s="9"/>
    </row>
    <row r="4" ht="14.25" customHeight="1">
      <c r="B4" s="10" t="s">
        <v>2</v>
      </c>
      <c r="C4" s="11" t="s">
        <v>3</v>
      </c>
      <c r="D4" s="12" t="s">
        <v>4</v>
      </c>
      <c r="E4" s="13">
        <v>45950.0</v>
      </c>
      <c r="F4" s="13">
        <v>45951.0</v>
      </c>
      <c r="G4" s="13">
        <v>45952.0</v>
      </c>
      <c r="H4" s="13">
        <v>45953.0</v>
      </c>
      <c r="I4" s="13">
        <v>45954.0</v>
      </c>
      <c r="J4" s="13">
        <v>45955.0</v>
      </c>
      <c r="K4" s="13">
        <v>45956.0</v>
      </c>
      <c r="L4" s="9"/>
    </row>
    <row r="5" ht="14.25" customHeight="1">
      <c r="B5" s="15"/>
      <c r="C5" s="16"/>
      <c r="D5" s="17" t="s">
        <v>5</v>
      </c>
      <c r="E5" s="18" t="s">
        <v>6</v>
      </c>
      <c r="F5" s="19" t="s">
        <v>7</v>
      </c>
      <c r="G5" s="19" t="s">
        <v>8</v>
      </c>
      <c r="H5" s="19" t="s">
        <v>9</v>
      </c>
      <c r="I5" s="20" t="s">
        <v>10</v>
      </c>
      <c r="J5" s="19" t="s">
        <v>11</v>
      </c>
      <c r="K5" s="20" t="s">
        <v>12</v>
      </c>
      <c r="L5" s="9"/>
    </row>
    <row r="6" ht="14.25" customHeight="1">
      <c r="B6" s="21">
        <v>1.0</v>
      </c>
      <c r="C6" s="22" t="s">
        <v>18</v>
      </c>
      <c r="D6" s="23">
        <v>0.5</v>
      </c>
      <c r="E6" s="58">
        <v>0.1</v>
      </c>
      <c r="F6" s="25"/>
      <c r="G6" s="25"/>
      <c r="H6" s="25"/>
      <c r="I6" s="26"/>
      <c r="J6" s="25"/>
      <c r="K6" s="25"/>
    </row>
    <row r="7" ht="14.25" customHeight="1">
      <c r="B7" s="28">
        <v>2.0</v>
      </c>
      <c r="C7" s="22" t="s">
        <v>19</v>
      </c>
      <c r="D7" s="29">
        <v>1.0</v>
      </c>
      <c r="E7" s="59">
        <v>0.3</v>
      </c>
      <c r="F7" s="31"/>
      <c r="G7" s="60">
        <v>0.3</v>
      </c>
      <c r="H7" s="60">
        <v>0.4</v>
      </c>
      <c r="I7" s="32"/>
      <c r="J7" s="31"/>
      <c r="K7" s="31"/>
    </row>
    <row r="8" ht="14.25" customHeight="1">
      <c r="B8" s="28">
        <v>7.0</v>
      </c>
      <c r="C8" s="22" t="s">
        <v>28</v>
      </c>
      <c r="D8" s="61">
        <v>0.5</v>
      </c>
      <c r="E8" s="62">
        <v>0.2</v>
      </c>
      <c r="F8" s="60">
        <v>0.2</v>
      </c>
      <c r="G8" s="60">
        <v>0.1</v>
      </c>
      <c r="H8" s="31"/>
      <c r="I8" s="32"/>
      <c r="J8" s="31"/>
      <c r="K8" s="31"/>
    </row>
    <row r="9" ht="14.25" customHeight="1">
      <c r="B9" s="28">
        <v>8.0</v>
      </c>
      <c r="C9" s="22" t="s">
        <v>29</v>
      </c>
      <c r="D9" s="29">
        <v>1.0</v>
      </c>
      <c r="E9" s="34"/>
      <c r="F9" s="60"/>
      <c r="G9" s="60">
        <v>0.2</v>
      </c>
      <c r="H9" s="60">
        <v>0.2</v>
      </c>
      <c r="I9" s="63">
        <v>0.1</v>
      </c>
      <c r="J9" s="31"/>
      <c r="K9" s="31"/>
    </row>
    <row r="10" ht="14.25" customHeight="1">
      <c r="B10" s="28">
        <v>9.0</v>
      </c>
      <c r="C10" s="22" t="s">
        <v>30</v>
      </c>
      <c r="D10" s="61">
        <v>1.0</v>
      </c>
      <c r="E10" s="34"/>
      <c r="F10" s="31"/>
      <c r="G10" s="31"/>
      <c r="H10" s="31"/>
      <c r="I10" s="32"/>
      <c r="J10" s="60">
        <v>0.5</v>
      </c>
      <c r="K10" s="60">
        <v>0.5</v>
      </c>
    </row>
    <row r="11" ht="14.25" customHeight="1">
      <c r="B11" s="28">
        <v>11.0</v>
      </c>
      <c r="C11" s="22" t="s">
        <v>31</v>
      </c>
      <c r="D11" s="61">
        <v>1.0</v>
      </c>
      <c r="E11" s="62">
        <v>0.2</v>
      </c>
      <c r="F11" s="31"/>
      <c r="G11" s="31"/>
      <c r="H11" s="31"/>
      <c r="I11" s="32"/>
      <c r="J11" s="31"/>
      <c r="K11" s="31"/>
    </row>
    <row r="12" ht="14.25" customHeight="1">
      <c r="B12" s="28">
        <v>12.0</v>
      </c>
      <c r="C12" s="22" t="s">
        <v>32</v>
      </c>
      <c r="D12" s="29">
        <v>0.5</v>
      </c>
      <c r="E12" s="62">
        <v>0.2</v>
      </c>
      <c r="F12" s="60">
        <v>0.2</v>
      </c>
      <c r="G12" s="60">
        <v>0.1</v>
      </c>
      <c r="H12" s="31"/>
      <c r="I12" s="32"/>
      <c r="J12" s="31"/>
      <c r="K12" s="31"/>
    </row>
    <row r="13" ht="14.25" customHeight="1">
      <c r="B13" s="28">
        <v>13.0</v>
      </c>
      <c r="C13" s="22" t="s">
        <v>33</v>
      </c>
      <c r="D13" s="29">
        <v>0.5</v>
      </c>
      <c r="E13" s="34"/>
      <c r="F13" s="31"/>
      <c r="G13" s="31"/>
      <c r="H13" s="60">
        <v>0.25</v>
      </c>
      <c r="I13" s="63">
        <v>0.25</v>
      </c>
      <c r="J13" s="31"/>
      <c r="K13" s="31"/>
    </row>
    <row r="14" ht="14.25" customHeight="1">
      <c r="B14" s="28">
        <v>14.0</v>
      </c>
      <c r="C14" s="22" t="s">
        <v>34</v>
      </c>
      <c r="D14" s="29">
        <v>0.5</v>
      </c>
      <c r="E14" s="34"/>
      <c r="F14" s="31"/>
      <c r="G14" s="31"/>
      <c r="H14" s="60">
        <v>0.25</v>
      </c>
      <c r="I14" s="63">
        <v>0.25</v>
      </c>
      <c r="J14" s="31"/>
      <c r="K14" s="31"/>
    </row>
    <row r="15" ht="14.25" customHeight="1">
      <c r="B15" s="35" t="s">
        <v>24</v>
      </c>
      <c r="C15" s="36"/>
      <c r="D15" s="37">
        <v>0.0</v>
      </c>
      <c r="E15" s="38">
        <f t="shared" ref="E15:K15" si="1">SUM(E6:E14)</f>
        <v>1</v>
      </c>
      <c r="F15" s="39">
        <f t="shared" si="1"/>
        <v>0.4</v>
      </c>
      <c r="G15" s="39">
        <f t="shared" si="1"/>
        <v>0.7</v>
      </c>
      <c r="H15" s="39">
        <f t="shared" si="1"/>
        <v>1.1</v>
      </c>
      <c r="I15" s="40">
        <f t="shared" si="1"/>
        <v>0.6</v>
      </c>
      <c r="J15" s="41">
        <f t="shared" si="1"/>
        <v>0.5</v>
      </c>
      <c r="K15" s="39">
        <f t="shared" si="1"/>
        <v>0.5</v>
      </c>
    </row>
    <row r="16" ht="14.25" customHeight="1">
      <c r="B16" s="43" t="s">
        <v>25</v>
      </c>
      <c r="C16" s="44"/>
      <c r="D16" s="45">
        <f>SUM(D6:D15)</f>
        <v>6.5</v>
      </c>
      <c r="E16" s="46">
        <f t="shared" ref="E16:K16" si="2">D16-SUM(E6:E14)</f>
        <v>5.5</v>
      </c>
      <c r="F16" s="47">
        <f t="shared" si="2"/>
        <v>5.1</v>
      </c>
      <c r="G16" s="47">
        <f t="shared" si="2"/>
        <v>4.4</v>
      </c>
      <c r="H16" s="47">
        <f t="shared" si="2"/>
        <v>3.3</v>
      </c>
      <c r="I16" s="48">
        <f t="shared" si="2"/>
        <v>2.7</v>
      </c>
      <c r="J16" s="49">
        <f t="shared" si="2"/>
        <v>2.2</v>
      </c>
      <c r="K16" s="49">
        <f t="shared" si="2"/>
        <v>1.7</v>
      </c>
    </row>
    <row r="17" ht="14.25" customHeight="1">
      <c r="B17" s="52" t="s">
        <v>35</v>
      </c>
      <c r="C17" s="53"/>
      <c r="D17" s="54">
        <f>D16</f>
        <v>6.5</v>
      </c>
      <c r="E17" s="55">
        <f>$D$17-($D$17/7*1)</f>
        <v>5.571428571</v>
      </c>
      <c r="F17" s="55">
        <f>$D$17-($D$17/7*2)</f>
        <v>4.642857143</v>
      </c>
      <c r="G17" s="55">
        <f>$D$17-($D$17/7*3)</f>
        <v>3.714285714</v>
      </c>
      <c r="H17" s="55">
        <f>$D$17-($D$17/7*4)</f>
        <v>2.785714286</v>
      </c>
      <c r="I17" s="56">
        <f>$D$17-($D$17/7*5)</f>
        <v>1.857142857</v>
      </c>
      <c r="J17" s="56">
        <f>$D$17-($D$17/7*6)</f>
        <v>0.9285714286</v>
      </c>
      <c r="K17" s="55">
        <f>$D$17-($D$17/7*7)</f>
        <v>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/>
  <pageMargins bottom="0.75" footer="0.0" header="0.0" left="0.7" right="0.7" top="0.75"/>
  <pageSetup orientation="portrait"/>
  <drawing r:id="rId1"/>
</worksheet>
</file>