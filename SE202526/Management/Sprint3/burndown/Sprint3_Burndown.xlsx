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 Sprint1" sheetId="1" r:id="rId4"/>
    <sheet state="visible" name="Burndown Chart Sprint2" sheetId="2" r:id="rId5"/>
    <sheet state="visible" name="Burndown Chart Sprint3" sheetId="3" r:id="rId6"/>
  </sheets>
  <definedNames/>
  <calcPr/>
</workbook>
</file>

<file path=xl/sharedStrings.xml><?xml version="1.0" encoding="utf-8"?>
<sst xmlns="http://schemas.openxmlformats.org/spreadsheetml/2006/main" count="132" uniqueCount="75">
  <si>
    <t>Sprint 1 Burndown Chart</t>
  </si>
  <si>
    <t>Sprint 1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</si>
  <si>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</si>
  <si>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</si>
  <si>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</si>
  <si>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</si>
  <si>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</si>
  <si>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</si>
  <si>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</si>
  <si>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</si>
  <si>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</si>
  <si>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</si>
  <si>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</si>
  <si>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</si>
  <si>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</si>
  <si>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</si>
  <si>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</si>
  <si>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</si>
  <si>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T1: Play the first area of the game</t>
  </si>
  <si>
    <t>T2: Read through the classes in the codebase.</t>
  </si>
  <si>
    <t>T3: Define roughly functionality 1.</t>
  </si>
  <si>
    <t>T4: Define roughly functionality 2.</t>
  </si>
  <si>
    <t>T5: Define roughly functionality 3.</t>
  </si>
  <si>
    <t>T6: Trial modification of code.</t>
  </si>
  <si>
    <t>Esforço Completo</t>
  </si>
  <si>
    <t>Esforço Restante</t>
  </si>
  <si>
    <r>
      <rPr>
        <rFont val="Calibri"/>
        <b/>
        <i/>
        <color theme="1"/>
        <sz val="11.0"/>
      </rPr>
      <t xml:space="preserve">Burndown </t>
    </r>
    <r>
      <rPr>
        <rFont val="Calibri"/>
        <b/>
        <color theme="1"/>
        <sz val="11.0"/>
      </rPr>
      <t>Ideal</t>
    </r>
  </si>
  <si>
    <t>Sprint 2 Burndown Chart</t>
  </si>
  <si>
    <t xml:space="preserve">T7: Make feature goals more specific.
</t>
  </si>
  <si>
    <t>T8: Brainstorm further features for replacement (if necessary).</t>
  </si>
  <si>
    <t>T9: Study code associated to undo/redo feature</t>
  </si>
  <si>
    <t xml:space="preserve">T10: Study code associated to water piping system.
</t>
  </si>
  <si>
    <t>T11: Define functionality 1</t>
  </si>
  <si>
    <t>T12: Define functionality 2.</t>
  </si>
  <si>
    <t>T13: Define functionality 3.</t>
  </si>
  <si>
    <r>
      <rPr>
        <rFont val="Calibri"/>
        <b/>
        <i/>
        <color theme="1"/>
        <sz val="11.0"/>
      </rPr>
      <t xml:space="preserve">Burndown </t>
    </r>
    <r>
      <rPr>
        <rFont val="Calibri"/>
        <b/>
        <color theme="1"/>
        <sz val="11.0"/>
      </rPr>
      <t>Ideal</t>
    </r>
  </si>
  <si>
    <t>Sprint 3 Burndown Chart</t>
  </si>
  <si>
    <t>Carolina</t>
  </si>
  <si>
    <t>T11: Study code associated to water piping system.</t>
  </si>
  <si>
    <t>Diogo</t>
  </si>
  <si>
    <t xml:space="preserve">T14.1: Revisit the read code, and find code smells. </t>
  </si>
  <si>
    <t>Gabriela</t>
  </si>
  <si>
    <t xml:space="preserve">T14.2: Revisit the read code, and find code smells. </t>
  </si>
  <si>
    <t>T14.3: Revisit the read code, and find code smells.</t>
  </si>
  <si>
    <t>Gabriel</t>
  </si>
  <si>
    <t>T14.4: Revisit the read code, and find code smells.</t>
  </si>
  <si>
    <t>T14.5: Revisit the read code, and find code smells.</t>
  </si>
  <si>
    <t>Dinis</t>
  </si>
  <si>
    <t>T14.6: Revisit the read code, and find code smells.</t>
  </si>
  <si>
    <t>Manel</t>
  </si>
  <si>
    <t>T15.1: Document found code smells, and brainstorm possible solutions.</t>
  </si>
  <si>
    <t>T15.2: Document found code smells, and brainstorm possible solutions.</t>
  </si>
  <si>
    <t>T15.3: Document found code smells, and brainstorm possible solutions.</t>
  </si>
  <si>
    <t>T15.4: Document found code smells, and brainstorm possible solutions.</t>
  </si>
  <si>
    <t>T15.5: Document found code smells, and brainstorm possible solutions.</t>
  </si>
  <si>
    <t>T15.6: Document found code smells, and brainstorm possible solutions.</t>
  </si>
  <si>
    <t xml:space="preserve">T16.1: Revisit the read code, and find design patterns. </t>
  </si>
  <si>
    <t xml:space="preserve">T16.2: Revisit the read code, and find design patterns. </t>
  </si>
  <si>
    <t xml:space="preserve">T16.3: Revisit the read code, and find design patterns. </t>
  </si>
  <si>
    <t xml:space="preserve">T16.4: Revisit the read code, and find design patterns. </t>
  </si>
  <si>
    <t xml:space="preserve">T16.5: Revisit the read code, and find design patterns. </t>
  </si>
  <si>
    <t xml:space="preserve">T16.6: Revisit the read code, and find design patterns. </t>
  </si>
  <si>
    <t>T17.1: Find code blocks, where some design patterns may be implemented.</t>
  </si>
  <si>
    <t>T17.2: Find code blocks, where some design patterns may be implemented.</t>
  </si>
  <si>
    <t>T17.3: Find code blocks, where some design patterns may be implemented.</t>
  </si>
  <si>
    <t>T17.4: Find code blocks, where some design patterns may be implemented.</t>
  </si>
  <si>
    <t>T17.5: Find code blocks, where some design patterns may be implemented.</t>
  </si>
  <si>
    <t>T17.6: Find code blocks, where some design patterns may be implemented.</t>
  </si>
  <si>
    <t>T18.1: Document found design patterns, and think about possible improvements.</t>
  </si>
  <si>
    <t>T18.2: Document found design patterns, and think about possible improvements.</t>
  </si>
  <si>
    <t>T18.3: Document found design patterns, and think about possible improvements.</t>
  </si>
  <si>
    <t>T18.4: Document found design patterns, and think about possible improvements.</t>
  </si>
  <si>
    <t>T18.5: Document found design patterns, and think about possible improvements.</t>
  </si>
  <si>
    <t>T18.6: Document found design patterns, and think about possible improvements.</t>
  </si>
  <si>
    <r>
      <rPr>
        <rFont val="Calibri"/>
        <b/>
        <i/>
        <color theme="1"/>
        <sz val="11.0"/>
      </rPr>
      <t xml:space="preserve">Burndown </t>
    </r>
    <r>
      <rPr>
        <rFont val="Calibri"/>
        <b/>
        <color theme="1"/>
        <sz val="11.0"/>
      </rPr>
      <t>Ideal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</si>
</sst>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sz val="20.0"/>
      <color theme="0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1.0"/>
      <color rgb="FF3F3F3F"/>
      <name val="Calibri"/>
    </font>
    <font>
      <sz val="20.0"/>
      <color rgb="FFFFFFFF"/>
      <name val="Calibri"/>
    </font>
    <font>
      <color theme="1"/>
      <name val="Calibri"/>
      <scheme val="minor"/>
    </font>
    <font>
      <b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4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0" fontId="2" numFmtId="0" xfId="0" applyBorder="1" applyFont="1"/>
    <xf borderId="8" fillId="0" fontId="3" numFmtId="0" xfId="0" applyBorder="1" applyFont="1"/>
    <xf borderId="9" fillId="3" fontId="4" numFmtId="0" xfId="0" applyAlignment="1" applyBorder="1" applyFill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11" fillId="4" fontId="4" numFmtId="0" xfId="0" applyAlignment="1" applyBorder="1" applyFill="1" applyFont="1">
      <alignment horizontal="center"/>
    </xf>
    <xf borderId="12" fillId="3" fontId="4" numFmtId="15" xfId="0" applyAlignment="1" applyBorder="1" applyFont="1" applyNumberFormat="1">
      <alignment horizontal="center"/>
    </xf>
    <xf borderId="13" fillId="3" fontId="4" numFmtId="15" xfId="0" applyAlignment="1" applyBorder="1" applyFont="1" applyNumberFormat="1">
      <alignment horizontal="center"/>
    </xf>
    <xf borderId="14" fillId="0" fontId="2" numFmtId="0" xfId="0" applyBorder="1" applyFont="1"/>
    <xf borderId="15" fillId="0" fontId="2" numFmtId="0" xfId="0" applyBorder="1" applyFont="1"/>
    <xf borderId="16" fillId="4" fontId="4" numFmtId="0" xfId="0" applyAlignment="1" applyBorder="1" applyFont="1">
      <alignment horizontal="center"/>
    </xf>
    <xf borderId="17" fillId="3" fontId="4" numFmtId="0" xfId="0" applyAlignment="1" applyBorder="1" applyFont="1">
      <alignment horizontal="center"/>
    </xf>
    <xf borderId="18" fillId="3" fontId="4" numFmtId="0" xfId="0" applyAlignment="1" applyBorder="1" applyFont="1">
      <alignment horizontal="center"/>
    </xf>
    <xf borderId="16" fillId="3" fontId="4" numFmtId="0" xfId="0" applyAlignment="1" applyBorder="1" applyFont="1">
      <alignment horizontal="center"/>
    </xf>
    <xf borderId="12" fillId="5" fontId="3" numFmtId="0" xfId="0" applyAlignment="1" applyBorder="1" applyFill="1" applyFont="1">
      <alignment horizontal="right" shrinkToFit="0" wrapText="1"/>
    </xf>
    <xf borderId="0" fillId="0" fontId="5" numFmtId="0" xfId="0" applyAlignment="1" applyFont="1">
      <alignment horizontal="left" shrinkToFit="0" wrapText="1"/>
    </xf>
    <xf borderId="11" fillId="6" fontId="3" numFmtId="0" xfId="0" applyAlignment="1" applyBorder="1" applyFill="1" applyFont="1">
      <alignment horizontal="center"/>
    </xf>
    <xf borderId="12" fillId="7" fontId="3" numFmtId="0" xfId="0" applyAlignment="1" applyBorder="1" applyFill="1" applyFont="1">
      <alignment horizontal="center"/>
    </xf>
    <xf borderId="19" fillId="7" fontId="3" numFmtId="0" xfId="0" applyAlignment="1" applyBorder="1" applyFont="1">
      <alignment horizontal="center"/>
    </xf>
    <xf borderId="11" fillId="7" fontId="3" numFmtId="0" xfId="0" applyAlignment="1" applyBorder="1" applyFont="1">
      <alignment horizontal="center"/>
    </xf>
    <xf borderId="20" fillId="7" fontId="3" numFmtId="0" xfId="0" applyAlignment="1" applyBorder="1" applyFont="1">
      <alignment horizontal="center"/>
    </xf>
    <xf borderId="21" fillId="5" fontId="3" numFmtId="0" xfId="0" applyAlignment="1" applyBorder="1" applyFont="1">
      <alignment horizontal="right" shrinkToFit="0" wrapText="1"/>
    </xf>
    <xf borderId="22" fillId="6" fontId="3" numFmtId="0" xfId="0" applyAlignment="1" applyBorder="1" applyFont="1">
      <alignment horizontal="center"/>
    </xf>
    <xf borderId="23" fillId="7" fontId="3" numFmtId="0" xfId="0" applyAlignment="1" applyBorder="1" applyFont="1">
      <alignment horizontal="center"/>
    </xf>
    <xf borderId="24" fillId="7" fontId="3" numFmtId="0" xfId="0" applyAlignment="1" applyBorder="1" applyFont="1">
      <alignment horizontal="center"/>
    </xf>
    <xf borderId="22" fillId="7" fontId="3" numFmtId="0" xfId="0" applyAlignment="1" applyBorder="1" applyFont="1">
      <alignment horizontal="center"/>
    </xf>
    <xf borderId="25" fillId="7" fontId="3" numFmtId="0" xfId="0" applyAlignment="1" applyBorder="1" applyFont="1">
      <alignment horizontal="center"/>
    </xf>
    <xf borderId="21" fillId="7" fontId="3" numFmtId="0" xfId="0" applyAlignment="1" applyBorder="1" applyFont="1">
      <alignment horizontal="center"/>
    </xf>
    <xf borderId="26" fillId="8" fontId="4" numFmtId="0" xfId="0" applyAlignment="1" applyBorder="1" applyFill="1" applyFont="1">
      <alignment horizontal="center" shrinkToFit="0" wrapText="1"/>
    </xf>
    <xf borderId="27" fillId="0" fontId="2" numFmtId="0" xfId="0" applyBorder="1" applyFont="1"/>
    <xf borderId="11" fillId="8" fontId="3" numFmtId="0" xfId="0" applyAlignment="1" applyBorder="1" applyFont="1">
      <alignment horizontal="center"/>
    </xf>
    <xf borderId="12" fillId="8" fontId="3" numFmtId="0" xfId="0" applyAlignment="1" applyBorder="1" applyFont="1">
      <alignment horizontal="center"/>
    </xf>
    <xf borderId="28" fillId="8" fontId="3" numFmtId="0" xfId="0" applyAlignment="1" applyBorder="1" applyFont="1">
      <alignment horizontal="center"/>
    </xf>
    <xf borderId="29" fillId="8" fontId="3" numFmtId="0" xfId="0" applyAlignment="1" applyBorder="1" applyFont="1">
      <alignment horizontal="center"/>
    </xf>
    <xf borderId="19" fillId="8" fontId="3" numFmtId="0" xfId="0" applyAlignment="1" applyBorder="1" applyFont="1">
      <alignment horizontal="center"/>
    </xf>
    <xf borderId="30" fillId="8" fontId="3" numFmtId="0" xfId="0" applyAlignment="1" applyBorder="1" applyFont="1">
      <alignment horizontal="center"/>
    </xf>
    <xf borderId="31" fillId="9" fontId="4" numFmtId="0" xfId="0" applyAlignment="1" applyBorder="1" applyFill="1" applyFont="1">
      <alignment horizontal="center"/>
    </xf>
    <xf borderId="32" fillId="0" fontId="2" numFmtId="0" xfId="0" applyBorder="1" applyFont="1"/>
    <xf borderId="22" fillId="9" fontId="3" numFmtId="0" xfId="0" applyAlignment="1" applyBorder="1" applyFont="1">
      <alignment horizontal="center"/>
    </xf>
    <xf borderId="21" fillId="9" fontId="3" numFmtId="164" xfId="0" applyAlignment="1" applyBorder="1" applyFont="1" applyNumberFormat="1">
      <alignment horizontal="center"/>
    </xf>
    <xf borderId="24" fillId="9" fontId="3" numFmtId="164" xfId="0" applyAlignment="1" applyBorder="1" applyFont="1" applyNumberFormat="1">
      <alignment horizontal="center"/>
    </xf>
    <xf borderId="22" fillId="9" fontId="3" numFmtId="164" xfId="0" applyAlignment="1" applyBorder="1" applyFont="1" applyNumberFormat="1">
      <alignment horizontal="center"/>
    </xf>
    <xf borderId="33" fillId="9" fontId="3" numFmtId="164" xfId="0" applyAlignment="1" applyBorder="1" applyFont="1" applyNumberFormat="1">
      <alignment horizontal="center"/>
    </xf>
    <xf borderId="34" fillId="9" fontId="3" numFmtId="164" xfId="0" applyAlignment="1" applyBorder="1" applyFont="1" applyNumberFormat="1">
      <alignment horizontal="center"/>
    </xf>
    <xf borderId="25" fillId="9" fontId="3" numFmtId="164" xfId="0" applyAlignment="1" applyBorder="1" applyFont="1" applyNumberFormat="1">
      <alignment horizontal="center"/>
    </xf>
    <xf borderId="35" fillId="10" fontId="4" numFmtId="0" xfId="0" applyAlignment="1" applyBorder="1" applyFill="1" applyFont="1">
      <alignment horizontal="center"/>
    </xf>
    <xf borderId="36" fillId="0" fontId="2" numFmtId="0" xfId="0" applyBorder="1" applyFont="1"/>
    <xf borderId="16" fillId="10" fontId="3" numFmtId="0" xfId="0" applyAlignment="1" applyBorder="1" applyFont="1">
      <alignment horizontal="center"/>
    </xf>
    <xf borderId="17" fillId="10" fontId="3" numFmtId="164" xfId="0" applyAlignment="1" applyBorder="1" applyFont="1" applyNumberFormat="1">
      <alignment horizontal="center"/>
    </xf>
    <xf borderId="37" fillId="10" fontId="3" numFmtId="164" xfId="0" applyAlignment="1" applyBorder="1" applyFont="1" applyNumberFormat="1">
      <alignment horizontal="center"/>
    </xf>
    <xf borderId="1" fillId="2" fontId="6" numFmtId="0" xfId="0" applyAlignment="1" applyBorder="1" applyFont="1">
      <alignment horizontal="center"/>
    </xf>
    <xf borderId="12" fillId="7" fontId="3" numFmtId="0" xfId="0" applyAlignment="1" applyBorder="1" applyFont="1">
      <alignment horizontal="center" readingOrder="0"/>
    </xf>
    <xf borderId="23" fillId="7" fontId="3" numFmtId="0" xfId="0" applyAlignment="1" applyBorder="1" applyFont="1">
      <alignment horizontal="center" readingOrder="0"/>
    </xf>
    <xf borderId="24" fillId="7" fontId="3" numFmtId="0" xfId="0" applyAlignment="1" applyBorder="1" applyFont="1">
      <alignment horizontal="center" readingOrder="0"/>
    </xf>
    <xf borderId="22" fillId="6" fontId="3" numFmtId="0" xfId="0" applyAlignment="1" applyBorder="1" applyFont="1">
      <alignment horizontal="center" readingOrder="0"/>
    </xf>
    <xf borderId="21" fillId="7" fontId="3" numFmtId="0" xfId="0" applyAlignment="1" applyBorder="1" applyFont="1">
      <alignment horizontal="center" readingOrder="0"/>
    </xf>
    <xf borderId="22" fillId="7" fontId="3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38" fillId="0" fontId="2" numFmtId="0" xfId="0" applyBorder="1" applyFont="1"/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11" fillId="6" fontId="3" numFmtId="0" xfId="0" applyAlignment="1" applyBorder="1" applyFont="1">
      <alignment horizontal="center" readingOrder="0"/>
    </xf>
    <xf borderId="19" fillId="7" fontId="3" numFmtId="0" xfId="0" applyAlignment="1" applyBorder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21" fillId="5" fontId="3" numFmtId="0" xfId="0" applyAlignment="1" applyBorder="1" applyFont="1">
      <alignment horizontal="righ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39" fillId="5" fontId="3" numFmtId="0" xfId="0" applyAlignment="1" applyBorder="1" applyFont="1">
      <alignment horizontal="right" readingOrder="0" shrinkToFit="0" wrapText="1"/>
    </xf>
    <xf borderId="40" fillId="7" fontId="3" numFmtId="0" xfId="0" applyAlignment="1" applyBorder="1" applyFont="1">
      <alignment horizontal="center"/>
    </xf>
    <xf borderId="34" fillId="7" fontId="3" numFmtId="0" xfId="0" applyAlignment="1" applyBorder="1" applyFont="1">
      <alignment horizontal="center"/>
    </xf>
    <xf borderId="41" fillId="7" fontId="3" numFmtId="0" xfId="0" applyAlignment="1" applyBorder="1" applyFont="1">
      <alignment horizontal="center"/>
    </xf>
    <xf borderId="33" fillId="7" fontId="3" numFmtId="0" xfId="0" applyAlignment="1" applyBorder="1" applyFont="1">
      <alignment horizontal="center" readingOrder="0"/>
    </xf>
    <xf borderId="34" fillId="7" fontId="3" numFmtId="0" xfId="0" applyAlignment="1" applyBorder="1" applyFont="1">
      <alignment horizontal="center" readingOrder="0"/>
    </xf>
    <xf borderId="33" fillId="7" fontId="3" numFmtId="0" xfId="0" applyAlignment="1" applyBorder="1" applyFont="1">
      <alignment horizontal="center"/>
    </xf>
    <xf borderId="41" fillId="7" fontId="3" numFmtId="0" xfId="0" applyAlignment="1" applyBorder="1" applyFont="1">
      <alignment horizontal="center" readingOrder="0"/>
    </xf>
    <xf borderId="16" fillId="10" fontId="3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'Burndown Chart Sprint1'!$D$5:$P$5</c:f>
            </c:strRef>
          </c:cat>
          <c:val>
            <c:numRef>
              <c:f>'Burndown Chart Sprint1'!$D$12:$P$12</c:f>
              <c:numCache/>
            </c:numRef>
          </c:val>
        </c:ser>
        <c:overlap val="100"/>
        <c:axId val="1308745242"/>
        <c:axId val="1512866272"/>
      </c:barChart>
      <c:lineChart>
        <c:ser>
          <c:idx val="1"/>
          <c:order val="1"/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Sprint1'!$D$5:$P$5</c:f>
            </c:strRef>
          </c:cat>
          <c:val>
            <c:numRef>
              <c:f>'Burndown Chart Sprint1'!$D$13:$P$13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Sprint1'!$D$5:$P$5</c:f>
            </c:strRef>
          </c:cat>
          <c:val>
            <c:numRef>
              <c:f>'Burndown Chart Sprint1'!$D$14:$P$14</c:f>
              <c:numCache/>
            </c:numRef>
          </c:val>
          <c:smooth val="0"/>
        </c:ser>
        <c:axId val="1308745242"/>
        <c:axId val="1512866272"/>
      </c:lineChart>
      <c:catAx>
        <c:axId val="1308745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2866272"/>
      </c:catAx>
      <c:valAx>
        <c:axId val="1512866272"/>
        <c:scaling>
          <c:orientation val="minMax"/>
          <c:max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874524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'Burndown Chart Sprint2'!$D$5:$K$5</c:f>
            </c:strRef>
          </c:cat>
          <c:val>
            <c:numRef>
              <c:f>'Burndown Chart Sprint2'!$D$15:$K$15</c:f>
              <c:numCache/>
            </c:numRef>
          </c:val>
        </c:ser>
        <c:overlap val="100"/>
        <c:axId val="1570117734"/>
        <c:axId val="1525592912"/>
      </c:barChart>
      <c:lineChart>
        <c:ser>
          <c:idx val="1"/>
          <c:order val="1"/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Sprint2'!$D$5:$K$5</c:f>
            </c:strRef>
          </c:cat>
          <c:val>
            <c:numRef>
              <c:f>'Burndown Chart Sprint2'!$D$16:$K$16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Sprint2'!$D$5:$K$5</c:f>
            </c:strRef>
          </c:cat>
          <c:val>
            <c:numRef>
              <c:f>'Burndown Chart Sprint2'!$D$17:$K$17</c:f>
              <c:numCache/>
            </c:numRef>
          </c:val>
          <c:smooth val="0"/>
        </c:ser>
        <c:axId val="1570117734"/>
        <c:axId val="1525592912"/>
      </c:lineChart>
      <c:catAx>
        <c:axId val="1570117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5592912"/>
      </c:catAx>
      <c:valAx>
        <c:axId val="1525592912"/>
        <c:scaling>
          <c:orientation val="minMax"/>
          <c:max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011773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'Burndown Chart Sprint3'!$D$5:$K$5</c:f>
            </c:strRef>
          </c:cat>
          <c:val>
            <c:numRef>
              <c:f>'Burndown Chart Sprint3'!$D$38:$K$38</c:f>
              <c:numCache/>
            </c:numRef>
          </c:val>
        </c:ser>
        <c:overlap val="100"/>
        <c:axId val="678014364"/>
        <c:axId val="1030274343"/>
      </c:barChart>
      <c:lineChart>
        <c:ser>
          <c:idx val="1"/>
          <c:order val="1"/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 Sprint3'!$D$5:$K$5</c:f>
            </c:strRef>
          </c:cat>
          <c:val>
            <c:numRef>
              <c:f>'Burndown Chart Sprint3'!$D$39:$K$39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 Sprint3'!$D$5:$K$5</c:f>
            </c:strRef>
          </c:cat>
          <c:val>
            <c:numRef>
              <c:f>'Burndown Chart Sprint3'!$D$40:$K$40</c:f>
              <c:numCache/>
            </c:numRef>
          </c:val>
          <c:smooth val="0"/>
        </c:ser>
        <c:axId val="678014364"/>
        <c:axId val="1030274343"/>
      </c:lineChart>
      <c:catAx>
        <c:axId val="678014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0274343"/>
      </c:catAx>
      <c:valAx>
        <c:axId val="1030274343"/>
        <c:scaling>
          <c:orientation val="minMax"/>
          <c:max val="1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8014364"/>
        <c:majorUnit val="4.0"/>
        <c:minorUnit val="1.33333333333333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2133600</xdr:colOff>
      <xdr:row>14</xdr:row>
      <xdr:rowOff>38100</xdr:rowOff>
    </xdr:from>
    <xdr:ext cx="9639300" cy="4886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18</xdr:row>
      <xdr:rowOff>171450</xdr:rowOff>
    </xdr:from>
    <xdr:ext cx="9639300" cy="4886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41</xdr:row>
      <xdr:rowOff>171450</xdr:rowOff>
    </xdr:from>
    <xdr:ext cx="9639300" cy="4886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14"/>
    <col customWidth="1" min="3" max="3" width="73.14"/>
    <col customWidth="1" min="4" max="4" width="15.71"/>
    <col customWidth="1" min="5" max="14" width="10.0"/>
    <col customWidth="1" min="15" max="15" width="9.71"/>
    <col customWidth="1" min="16" max="16" width="9.57"/>
    <col customWidth="1" min="17" max="18" width="8.71"/>
  </cols>
  <sheetData>
    <row r="1" ht="14.25" customHeight="1"/>
    <row r="2" ht="23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R2" s="4"/>
    </row>
    <row r="3" ht="14.25" customHeight="1">
      <c r="B3" s="5"/>
      <c r="C3" s="6"/>
      <c r="D3" s="6"/>
      <c r="E3" s="7" t="s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</row>
    <row r="4" ht="14.25" customHeight="1">
      <c r="B4" s="10" t="s">
        <v>2</v>
      </c>
      <c r="C4" s="11" t="s">
        <v>3</v>
      </c>
      <c r="D4" s="12" t="s">
        <v>4</v>
      </c>
      <c r="E4" s="13">
        <v>45938.0</v>
      </c>
      <c r="F4" s="13">
        <v>45939.0</v>
      </c>
      <c r="G4" s="13">
        <v>45940.0</v>
      </c>
      <c r="H4" s="13">
        <v>45941.0</v>
      </c>
      <c r="I4" s="13">
        <v>45942.0</v>
      </c>
      <c r="J4" s="13">
        <v>45943.0</v>
      </c>
      <c r="K4" s="13">
        <v>45944.0</v>
      </c>
      <c r="L4" s="13">
        <v>45945.0</v>
      </c>
      <c r="M4" s="13">
        <v>45946.0</v>
      </c>
      <c r="N4" s="13">
        <v>45947.0</v>
      </c>
      <c r="O4" s="13">
        <v>45948.0</v>
      </c>
      <c r="P4" s="14">
        <v>45949.0</v>
      </c>
      <c r="Q4" s="9"/>
    </row>
    <row r="5" ht="14.25" customHeight="1">
      <c r="B5" s="15"/>
      <c r="C5" s="16"/>
      <c r="D5" s="17" t="s">
        <v>5</v>
      </c>
      <c r="E5" s="18" t="s">
        <v>6</v>
      </c>
      <c r="F5" s="19" t="s">
        <v>7</v>
      </c>
      <c r="G5" s="19" t="s">
        <v>8</v>
      </c>
      <c r="H5" s="19" t="s">
        <v>9</v>
      </c>
      <c r="I5" s="20" t="s">
        <v>10</v>
      </c>
      <c r="J5" s="19" t="s">
        <v>11</v>
      </c>
      <c r="K5" s="20" t="s">
        <v>12</v>
      </c>
      <c r="L5" s="19" t="s">
        <v>13</v>
      </c>
      <c r="M5" s="20" t="s">
        <v>14</v>
      </c>
      <c r="N5" s="19" t="s">
        <v>15</v>
      </c>
      <c r="O5" s="20" t="s">
        <v>16</v>
      </c>
      <c r="P5" s="20" t="s">
        <v>17</v>
      </c>
      <c r="Q5" s="9"/>
    </row>
    <row r="6" ht="14.25" customHeight="1">
      <c r="B6" s="21">
        <v>1.0</v>
      </c>
      <c r="C6" s="22" t="s">
        <v>18</v>
      </c>
      <c r="D6" s="23">
        <v>3.0</v>
      </c>
      <c r="E6" s="24"/>
      <c r="F6" s="25"/>
      <c r="G6" s="25"/>
      <c r="H6" s="25">
        <v>1.0</v>
      </c>
      <c r="I6" s="26"/>
      <c r="J6" s="25"/>
      <c r="K6" s="25"/>
      <c r="L6" s="25">
        <v>1.0</v>
      </c>
      <c r="M6" s="25"/>
      <c r="N6" s="25"/>
      <c r="O6" s="25"/>
      <c r="P6" s="27"/>
    </row>
    <row r="7" ht="14.25" customHeight="1">
      <c r="B7" s="28">
        <v>4.0</v>
      </c>
      <c r="C7" s="22" t="s">
        <v>19</v>
      </c>
      <c r="D7" s="29">
        <v>6.0</v>
      </c>
      <c r="E7" s="30"/>
      <c r="F7" s="31">
        <v>1.0</v>
      </c>
      <c r="G7" s="31"/>
      <c r="H7" s="31"/>
      <c r="I7" s="32">
        <v>1.5</v>
      </c>
      <c r="J7" s="31">
        <v>0.2</v>
      </c>
      <c r="K7" s="31"/>
      <c r="L7" s="31">
        <v>0.4</v>
      </c>
      <c r="M7" s="31">
        <v>0.4</v>
      </c>
      <c r="N7" s="31"/>
      <c r="O7" s="31"/>
      <c r="P7" s="33"/>
    </row>
    <row r="8" ht="14.25" customHeight="1">
      <c r="B8" s="28">
        <v>10.0</v>
      </c>
      <c r="C8" s="22" t="s">
        <v>20</v>
      </c>
      <c r="D8" s="29">
        <v>1.0</v>
      </c>
      <c r="E8" s="34"/>
      <c r="F8" s="31"/>
      <c r="G8" s="31">
        <v>0.2</v>
      </c>
      <c r="H8" s="31">
        <v>0.4</v>
      </c>
      <c r="I8" s="32">
        <v>0.2</v>
      </c>
      <c r="J8" s="31">
        <v>0.1</v>
      </c>
      <c r="K8" s="31">
        <v>0.1</v>
      </c>
      <c r="L8" s="31"/>
      <c r="M8" s="31"/>
      <c r="N8" s="31"/>
      <c r="O8" s="31"/>
      <c r="P8" s="33"/>
    </row>
    <row r="9" ht="14.25" customHeight="1">
      <c r="B9" s="28">
        <v>11.0</v>
      </c>
      <c r="C9" s="22" t="s">
        <v>21</v>
      </c>
      <c r="D9" s="29">
        <v>1.0</v>
      </c>
      <c r="E9" s="34"/>
      <c r="F9" s="31"/>
      <c r="G9" s="31"/>
      <c r="H9" s="31"/>
      <c r="I9" s="32"/>
      <c r="J9" s="31"/>
      <c r="K9" s="31">
        <v>0.5</v>
      </c>
      <c r="L9" s="31">
        <v>0.5</v>
      </c>
      <c r="M9" s="31"/>
      <c r="N9" s="31"/>
      <c r="O9" s="31"/>
      <c r="P9" s="33"/>
    </row>
    <row r="10" ht="14.25" customHeight="1">
      <c r="B10" s="28">
        <v>12.0</v>
      </c>
      <c r="C10" s="22" t="s">
        <v>22</v>
      </c>
      <c r="D10" s="29">
        <v>1.0</v>
      </c>
      <c r="E10" s="34"/>
      <c r="F10" s="31"/>
      <c r="G10" s="31"/>
      <c r="H10" s="31"/>
      <c r="I10" s="32"/>
      <c r="J10" s="31"/>
      <c r="K10" s="31">
        <v>0.2</v>
      </c>
      <c r="L10" s="31"/>
      <c r="M10" s="31"/>
      <c r="N10" s="31">
        <v>0.5</v>
      </c>
      <c r="O10" s="31">
        <v>0.3</v>
      </c>
      <c r="P10" s="33"/>
    </row>
    <row r="11" ht="14.25" customHeight="1">
      <c r="B11" s="28">
        <v>13.0</v>
      </c>
      <c r="C11" s="22" t="s">
        <v>23</v>
      </c>
      <c r="D11" s="29">
        <v>2.0</v>
      </c>
      <c r="E11" s="34"/>
      <c r="F11" s="31"/>
      <c r="G11" s="31"/>
      <c r="H11" s="31"/>
      <c r="I11" s="32"/>
      <c r="J11" s="31"/>
      <c r="K11" s="31">
        <v>1.0</v>
      </c>
      <c r="L11" s="31">
        <v>0.7</v>
      </c>
      <c r="M11" s="31">
        <v>0.3</v>
      </c>
      <c r="N11" s="31"/>
      <c r="O11" s="31"/>
      <c r="P11" s="33"/>
    </row>
    <row r="12" ht="14.25" customHeight="1">
      <c r="B12" s="35" t="s">
        <v>24</v>
      </c>
      <c r="C12" s="36"/>
      <c r="D12" s="37">
        <v>0.0</v>
      </c>
      <c r="E12" s="38">
        <f t="shared" ref="E12:P12" si="1">SUM(E6:E11)</f>
        <v>0</v>
      </c>
      <c r="F12" s="39">
        <f t="shared" si="1"/>
        <v>1</v>
      </c>
      <c r="G12" s="39">
        <f t="shared" si="1"/>
        <v>0.2</v>
      </c>
      <c r="H12" s="39">
        <f t="shared" si="1"/>
        <v>1.4</v>
      </c>
      <c r="I12" s="40">
        <f t="shared" si="1"/>
        <v>1.7</v>
      </c>
      <c r="J12" s="41">
        <f t="shared" si="1"/>
        <v>0.3</v>
      </c>
      <c r="K12" s="39">
        <f t="shared" si="1"/>
        <v>1.8</v>
      </c>
      <c r="L12" s="39">
        <f t="shared" si="1"/>
        <v>2.6</v>
      </c>
      <c r="M12" s="39">
        <f t="shared" si="1"/>
        <v>0.7</v>
      </c>
      <c r="N12" s="41">
        <f t="shared" si="1"/>
        <v>0.5</v>
      </c>
      <c r="O12" s="39">
        <f t="shared" si="1"/>
        <v>0.3</v>
      </c>
      <c r="P12" s="42">
        <f t="shared" si="1"/>
        <v>0</v>
      </c>
    </row>
    <row r="13" ht="14.25" customHeight="1">
      <c r="B13" s="43" t="s">
        <v>25</v>
      </c>
      <c r="C13" s="44"/>
      <c r="D13" s="45">
        <f>SUM(D6:D12)</f>
        <v>14</v>
      </c>
      <c r="E13" s="46">
        <f t="shared" ref="E13:P13" si="2">D13-SUM(E6:E11)</f>
        <v>14</v>
      </c>
      <c r="F13" s="47">
        <f t="shared" si="2"/>
        <v>13</v>
      </c>
      <c r="G13" s="47">
        <f t="shared" si="2"/>
        <v>12.8</v>
      </c>
      <c r="H13" s="47">
        <f t="shared" si="2"/>
        <v>11.4</v>
      </c>
      <c r="I13" s="48">
        <f t="shared" si="2"/>
        <v>9.7</v>
      </c>
      <c r="J13" s="49">
        <f t="shared" si="2"/>
        <v>9.4</v>
      </c>
      <c r="K13" s="49">
        <f t="shared" si="2"/>
        <v>7.6</v>
      </c>
      <c r="L13" s="49">
        <f t="shared" si="2"/>
        <v>5</v>
      </c>
      <c r="M13" s="49">
        <f t="shared" si="2"/>
        <v>4.3</v>
      </c>
      <c r="N13" s="47">
        <f t="shared" si="2"/>
        <v>3.8</v>
      </c>
      <c r="O13" s="50">
        <f t="shared" si="2"/>
        <v>3.5</v>
      </c>
      <c r="P13" s="51">
        <f t="shared" si="2"/>
        <v>3.5</v>
      </c>
    </row>
    <row r="14" ht="14.25" customHeight="1">
      <c r="B14" s="52" t="s">
        <v>26</v>
      </c>
      <c r="C14" s="53"/>
      <c r="D14" s="54">
        <f>D13</f>
        <v>14</v>
      </c>
      <c r="E14" s="55">
        <f>$D$14-($D$14/12*1)</f>
        <v>12.83333333</v>
      </c>
      <c r="F14" s="55">
        <f>$D$14-($D$14/12*2)</f>
        <v>11.66666667</v>
      </c>
      <c r="G14" s="55">
        <f>$D$14-($D$14/12*3)</f>
        <v>10.5</v>
      </c>
      <c r="H14" s="55">
        <f>$D$14-($D$14/12*4)</f>
        <v>9.333333333</v>
      </c>
      <c r="I14" s="56">
        <f>$D$14-($D$14/12*5)</f>
        <v>8.166666667</v>
      </c>
      <c r="J14" s="56">
        <f>$D$14-($D$14/12*6)</f>
        <v>7</v>
      </c>
      <c r="K14" s="55">
        <f>$D$14-($D$14/12*7)</f>
        <v>5.833333333</v>
      </c>
      <c r="L14" s="55">
        <f>$D$14-($D$14/12*8)</f>
        <v>4.666666667</v>
      </c>
      <c r="M14" s="55">
        <f>$D$14-($D$14/12*9)</f>
        <v>3.5</v>
      </c>
      <c r="N14" s="56">
        <f>$D$14-($D$14/12*10)</f>
        <v>2.333333333</v>
      </c>
      <c r="O14" s="55">
        <f>$D$14-($D$14/12*11)</f>
        <v>1.166666667</v>
      </c>
      <c r="P14" s="56">
        <f>$D$14-($D$14/12*12)</f>
        <v>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P2"/>
    <mergeCell ref="E3:P3"/>
    <mergeCell ref="B4:B5"/>
    <mergeCell ref="C4:C5"/>
    <mergeCell ref="B12:C12"/>
    <mergeCell ref="B13:C13"/>
    <mergeCell ref="B14:C1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14"/>
    <col customWidth="1" min="3" max="3" width="73.14"/>
    <col customWidth="1" min="4" max="4" width="15.71"/>
    <col customWidth="1" min="5" max="11" width="10.0"/>
    <col customWidth="1" min="12" max="13" width="8.71"/>
  </cols>
  <sheetData>
    <row r="1" ht="14.25" customHeight="1"/>
    <row r="2" ht="23.25" customHeight="1">
      <c r="B2" s="57" t="s">
        <v>27</v>
      </c>
      <c r="C2" s="2"/>
      <c r="D2" s="2"/>
      <c r="E2" s="2"/>
      <c r="F2" s="2"/>
      <c r="G2" s="2"/>
      <c r="H2" s="2"/>
      <c r="I2" s="2"/>
      <c r="J2" s="2"/>
      <c r="K2" s="3"/>
      <c r="M2" s="4"/>
    </row>
    <row r="3" ht="14.25" customHeight="1">
      <c r="B3" s="5"/>
      <c r="C3" s="6"/>
      <c r="D3" s="6"/>
      <c r="E3" s="7" t="s">
        <v>1</v>
      </c>
      <c r="F3" s="8"/>
      <c r="G3" s="8"/>
      <c r="H3" s="8"/>
      <c r="I3" s="8"/>
      <c r="J3" s="8"/>
      <c r="K3" s="8"/>
      <c r="L3" s="9"/>
    </row>
    <row r="4" ht="14.25" customHeight="1">
      <c r="B4" s="10" t="s">
        <v>2</v>
      </c>
      <c r="C4" s="11" t="s">
        <v>3</v>
      </c>
      <c r="D4" s="12" t="s">
        <v>4</v>
      </c>
      <c r="E4" s="13">
        <v>45950.0</v>
      </c>
      <c r="F4" s="13">
        <v>45951.0</v>
      </c>
      <c r="G4" s="13">
        <v>45952.0</v>
      </c>
      <c r="H4" s="13">
        <v>45953.0</v>
      </c>
      <c r="I4" s="13">
        <v>45954.0</v>
      </c>
      <c r="J4" s="13">
        <v>45955.0</v>
      </c>
      <c r="K4" s="13">
        <v>45956.0</v>
      </c>
      <c r="L4" s="9"/>
    </row>
    <row r="5" ht="14.25" customHeight="1">
      <c r="B5" s="15"/>
      <c r="C5" s="16"/>
      <c r="D5" s="17" t="s">
        <v>5</v>
      </c>
      <c r="E5" s="18" t="s">
        <v>6</v>
      </c>
      <c r="F5" s="19" t="s">
        <v>7</v>
      </c>
      <c r="G5" s="19" t="s">
        <v>8</v>
      </c>
      <c r="H5" s="19" t="s">
        <v>9</v>
      </c>
      <c r="I5" s="20" t="s">
        <v>10</v>
      </c>
      <c r="J5" s="19" t="s">
        <v>11</v>
      </c>
      <c r="K5" s="20" t="s">
        <v>12</v>
      </c>
      <c r="L5" s="9"/>
    </row>
    <row r="6" ht="14.25" customHeight="1">
      <c r="B6" s="21">
        <v>1.0</v>
      </c>
      <c r="C6" s="22" t="s">
        <v>18</v>
      </c>
      <c r="D6" s="23">
        <v>0.5</v>
      </c>
      <c r="E6" s="58">
        <v>0.1</v>
      </c>
      <c r="F6" s="25"/>
      <c r="G6" s="25"/>
      <c r="H6" s="25"/>
      <c r="I6" s="26"/>
      <c r="J6" s="25"/>
      <c r="K6" s="25"/>
    </row>
    <row r="7" ht="14.25" customHeight="1">
      <c r="B7" s="28">
        <v>2.0</v>
      </c>
      <c r="C7" s="22" t="s">
        <v>19</v>
      </c>
      <c r="D7" s="29">
        <v>1.0</v>
      </c>
      <c r="E7" s="59">
        <v>0.3</v>
      </c>
      <c r="F7" s="31"/>
      <c r="G7" s="60">
        <v>0.3</v>
      </c>
      <c r="H7" s="60">
        <v>0.4</v>
      </c>
      <c r="I7" s="32"/>
      <c r="J7" s="31"/>
      <c r="K7" s="31"/>
    </row>
    <row r="8" ht="14.25" customHeight="1">
      <c r="B8" s="28">
        <v>7.0</v>
      </c>
      <c r="C8" s="22" t="s">
        <v>28</v>
      </c>
      <c r="D8" s="61">
        <v>0.5</v>
      </c>
      <c r="E8" s="62">
        <v>0.2</v>
      </c>
      <c r="F8" s="60">
        <v>0.2</v>
      </c>
      <c r="G8" s="60">
        <v>0.1</v>
      </c>
      <c r="H8" s="31"/>
      <c r="I8" s="32"/>
      <c r="J8" s="31"/>
      <c r="K8" s="31"/>
    </row>
    <row r="9" ht="14.25" customHeight="1">
      <c r="B9" s="28">
        <v>8.0</v>
      </c>
      <c r="C9" s="22" t="s">
        <v>29</v>
      </c>
      <c r="D9" s="29">
        <v>1.0</v>
      </c>
      <c r="E9" s="34"/>
      <c r="F9" s="60"/>
      <c r="G9" s="60">
        <v>0.2</v>
      </c>
      <c r="H9" s="60">
        <v>0.2</v>
      </c>
      <c r="I9" s="63">
        <v>0.1</v>
      </c>
      <c r="J9" s="31"/>
      <c r="K9" s="31"/>
    </row>
    <row r="10" ht="14.25" customHeight="1">
      <c r="B10" s="28">
        <v>9.0</v>
      </c>
      <c r="C10" s="22" t="s">
        <v>30</v>
      </c>
      <c r="D10" s="61">
        <v>1.0</v>
      </c>
      <c r="E10" s="34"/>
      <c r="F10" s="31"/>
      <c r="G10" s="31"/>
      <c r="H10" s="31"/>
      <c r="I10" s="32"/>
      <c r="J10" s="60">
        <v>0.5</v>
      </c>
      <c r="K10" s="60">
        <v>0.5</v>
      </c>
    </row>
    <row r="11" ht="14.25" customHeight="1">
      <c r="B11" s="28">
        <v>11.0</v>
      </c>
      <c r="C11" s="22" t="s">
        <v>31</v>
      </c>
      <c r="D11" s="61">
        <v>1.0</v>
      </c>
      <c r="E11" s="62">
        <v>0.2</v>
      </c>
      <c r="F11" s="31"/>
      <c r="G11" s="31"/>
      <c r="H11" s="31"/>
      <c r="I11" s="32"/>
      <c r="J11" s="31"/>
      <c r="K11" s="31"/>
    </row>
    <row r="12" ht="14.25" customHeight="1">
      <c r="B12" s="28">
        <v>12.0</v>
      </c>
      <c r="C12" s="22" t="s">
        <v>32</v>
      </c>
      <c r="D12" s="29">
        <v>0.5</v>
      </c>
      <c r="E12" s="62">
        <v>0.2</v>
      </c>
      <c r="F12" s="60">
        <v>0.2</v>
      </c>
      <c r="G12" s="60">
        <v>0.1</v>
      </c>
      <c r="H12" s="31"/>
      <c r="I12" s="32"/>
      <c r="J12" s="31"/>
      <c r="K12" s="31"/>
    </row>
    <row r="13" ht="14.25" customHeight="1">
      <c r="B13" s="28">
        <v>13.0</v>
      </c>
      <c r="C13" s="22" t="s">
        <v>33</v>
      </c>
      <c r="D13" s="29">
        <v>0.5</v>
      </c>
      <c r="E13" s="34"/>
      <c r="F13" s="31"/>
      <c r="G13" s="31"/>
      <c r="H13" s="60">
        <v>0.25</v>
      </c>
      <c r="I13" s="63">
        <v>0.25</v>
      </c>
      <c r="J13" s="31"/>
      <c r="K13" s="31"/>
    </row>
    <row r="14" ht="14.25" customHeight="1">
      <c r="B14" s="28">
        <v>14.0</v>
      </c>
      <c r="C14" s="22" t="s">
        <v>34</v>
      </c>
      <c r="D14" s="29">
        <v>0.5</v>
      </c>
      <c r="E14" s="34"/>
      <c r="F14" s="31"/>
      <c r="G14" s="31"/>
      <c r="H14" s="60">
        <v>0.25</v>
      </c>
      <c r="I14" s="63">
        <v>0.25</v>
      </c>
      <c r="J14" s="31"/>
      <c r="K14" s="31"/>
    </row>
    <row r="15" ht="14.25" customHeight="1">
      <c r="B15" s="35" t="s">
        <v>24</v>
      </c>
      <c r="C15" s="36"/>
      <c r="D15" s="37">
        <v>0.0</v>
      </c>
      <c r="E15" s="38">
        <f t="shared" ref="E15:K15" si="1">SUM(E6:E14)</f>
        <v>1</v>
      </c>
      <c r="F15" s="39">
        <f t="shared" si="1"/>
        <v>0.4</v>
      </c>
      <c r="G15" s="39">
        <f t="shared" si="1"/>
        <v>0.7</v>
      </c>
      <c r="H15" s="39">
        <f t="shared" si="1"/>
        <v>1.1</v>
      </c>
      <c r="I15" s="40">
        <f t="shared" si="1"/>
        <v>0.6</v>
      </c>
      <c r="J15" s="41">
        <f t="shared" si="1"/>
        <v>0.5</v>
      </c>
      <c r="K15" s="39">
        <f t="shared" si="1"/>
        <v>0.5</v>
      </c>
    </row>
    <row r="16" ht="14.25" customHeight="1">
      <c r="B16" s="43" t="s">
        <v>25</v>
      </c>
      <c r="C16" s="44"/>
      <c r="D16" s="45">
        <f>SUM(D6:D15)</f>
        <v>6.5</v>
      </c>
      <c r="E16" s="46">
        <f t="shared" ref="E16:K16" si="2">D16-SUM(E6:E14)</f>
        <v>5.5</v>
      </c>
      <c r="F16" s="47">
        <f t="shared" si="2"/>
        <v>5.1</v>
      </c>
      <c r="G16" s="47">
        <f t="shared" si="2"/>
        <v>4.4</v>
      </c>
      <c r="H16" s="47">
        <f t="shared" si="2"/>
        <v>3.3</v>
      </c>
      <c r="I16" s="48">
        <f t="shared" si="2"/>
        <v>2.7</v>
      </c>
      <c r="J16" s="49">
        <f t="shared" si="2"/>
        <v>2.2</v>
      </c>
      <c r="K16" s="49">
        <f t="shared" si="2"/>
        <v>1.7</v>
      </c>
    </row>
    <row r="17" ht="14.25" customHeight="1">
      <c r="B17" s="52" t="s">
        <v>35</v>
      </c>
      <c r="C17" s="53"/>
      <c r="D17" s="54">
        <f>D16</f>
        <v>6.5</v>
      </c>
      <c r="E17" s="55">
        <f>$D$17-($D$17/7*1)</f>
        <v>5.571428571</v>
      </c>
      <c r="F17" s="55">
        <f>$D$17-($D$17/7*2)</f>
        <v>4.642857143</v>
      </c>
      <c r="G17" s="55">
        <f>$D$17-($D$17/7*3)</f>
        <v>3.714285714</v>
      </c>
      <c r="H17" s="55">
        <f>$D$17-($D$17/7*4)</f>
        <v>2.785714286</v>
      </c>
      <c r="I17" s="56">
        <f>$D$17-($D$17/7*5)</f>
        <v>1.857142857</v>
      </c>
      <c r="J17" s="56">
        <f>$D$17-($D$17/7*6)</f>
        <v>0.9285714286</v>
      </c>
      <c r="K17" s="55">
        <f>$D$17-($D$17/7*7)</f>
        <v>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K2"/>
    <mergeCell ref="E3:K3"/>
    <mergeCell ref="B4:B5"/>
    <mergeCell ref="C4:C5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14"/>
    <col customWidth="1" min="3" max="3" width="73.14"/>
    <col customWidth="1" min="4" max="4" width="15.71"/>
    <col customWidth="1" min="5" max="13" width="10.0"/>
  </cols>
  <sheetData>
    <row r="1" ht="14.25" customHeight="1"/>
    <row r="2" ht="23.25" customHeight="1">
      <c r="B2" s="64" t="s">
        <v>36</v>
      </c>
      <c r="C2" s="2"/>
      <c r="D2" s="2"/>
      <c r="E2" s="2"/>
      <c r="F2" s="2"/>
      <c r="G2" s="2"/>
      <c r="H2" s="2"/>
      <c r="I2" s="2"/>
      <c r="J2" s="2"/>
      <c r="K2" s="65"/>
      <c r="M2" s="4"/>
    </row>
    <row r="3" ht="14.25" customHeight="1">
      <c r="B3" s="66"/>
      <c r="C3" s="67"/>
      <c r="D3" s="67"/>
      <c r="E3" s="7" t="s">
        <v>1</v>
      </c>
      <c r="F3" s="8"/>
      <c r="G3" s="8"/>
      <c r="H3" s="8"/>
      <c r="I3" s="8"/>
      <c r="J3" s="8"/>
      <c r="K3" s="8"/>
      <c r="L3" s="9"/>
    </row>
    <row r="4" ht="14.25" customHeight="1">
      <c r="B4" s="10" t="s">
        <v>2</v>
      </c>
      <c r="C4" s="11" t="s">
        <v>3</v>
      </c>
      <c r="D4" s="12" t="s">
        <v>4</v>
      </c>
      <c r="E4" s="13">
        <v>45957.0</v>
      </c>
      <c r="F4" s="13">
        <v>45958.0</v>
      </c>
      <c r="G4" s="13">
        <v>45959.0</v>
      </c>
      <c r="H4" s="13">
        <v>45960.0</v>
      </c>
      <c r="I4" s="13">
        <v>45961.0</v>
      </c>
      <c r="J4" s="13">
        <v>45962.0</v>
      </c>
      <c r="K4" s="13">
        <v>45963.0</v>
      </c>
    </row>
    <row r="5" ht="14.25" customHeight="1">
      <c r="B5" s="15"/>
      <c r="C5" s="16"/>
      <c r="D5" s="17" t="s">
        <v>5</v>
      </c>
      <c r="E5" s="18" t="s">
        <v>6</v>
      </c>
      <c r="F5" s="19" t="s">
        <v>7</v>
      </c>
      <c r="G5" s="19" t="s">
        <v>8</v>
      </c>
      <c r="H5" s="19" t="s">
        <v>9</v>
      </c>
      <c r="I5" s="20" t="s">
        <v>10</v>
      </c>
      <c r="J5" s="19" t="s">
        <v>11</v>
      </c>
      <c r="K5" s="20" t="s">
        <v>12</v>
      </c>
    </row>
    <row r="6" ht="14.25" customHeight="1">
      <c r="B6" s="21">
        <v>1.0</v>
      </c>
      <c r="C6" s="22" t="s">
        <v>18</v>
      </c>
      <c r="D6" s="68">
        <v>0.1</v>
      </c>
      <c r="E6" s="24"/>
      <c r="F6" s="25"/>
      <c r="G6" s="25"/>
      <c r="H6" s="25"/>
      <c r="I6" s="26"/>
      <c r="J6" s="69">
        <v>0.1</v>
      </c>
      <c r="K6" s="25"/>
      <c r="L6" s="70" t="str">
        <f t="shared" ref="L6:L37" si="1">IF(N6=0, "NOT STARTED" ,IF(N6&gt;D6, "ERROR TO MUCH WORK", IF(N6=D6, "DONE", "NOT ENOUGH WORK YET")))</f>
        <v>DONE</v>
      </c>
      <c r="N6" s="70">
        <f t="shared" ref="N6:N37" si="2">SUM(E6:K6)</f>
        <v>0.1</v>
      </c>
      <c r="O6" s="71" t="s">
        <v>37</v>
      </c>
      <c r="P6" s="72">
        <v>11.0</v>
      </c>
    </row>
    <row r="7" ht="14.25" customHeight="1">
      <c r="B7" s="28">
        <v>11.0</v>
      </c>
      <c r="C7" s="22" t="s">
        <v>38</v>
      </c>
      <c r="D7" s="29">
        <v>0.5</v>
      </c>
      <c r="E7" s="30">
        <v>0.25</v>
      </c>
      <c r="F7" s="31"/>
      <c r="G7" s="31"/>
      <c r="H7" s="31"/>
      <c r="I7" s="63"/>
      <c r="J7" s="31"/>
      <c r="K7" s="31"/>
      <c r="L7" s="70" t="str">
        <f t="shared" si="1"/>
        <v>NOT ENOUGH WORK YET</v>
      </c>
      <c r="N7" s="70">
        <f t="shared" si="2"/>
        <v>0.25</v>
      </c>
      <c r="O7" s="71" t="s">
        <v>39</v>
      </c>
      <c r="P7" s="72">
        <v>12.0</v>
      </c>
    </row>
    <row r="8" ht="14.25" customHeight="1">
      <c r="B8" s="73">
        <v>14.1</v>
      </c>
      <c r="C8" s="74" t="s">
        <v>40</v>
      </c>
      <c r="D8" s="29">
        <v>0.5</v>
      </c>
      <c r="E8" s="34"/>
      <c r="F8" s="31">
        <v>0.25</v>
      </c>
      <c r="G8" s="31"/>
      <c r="H8" s="31"/>
      <c r="I8" s="32"/>
      <c r="J8" s="60">
        <v>0.1</v>
      </c>
      <c r="K8" s="60">
        <v>0.15</v>
      </c>
      <c r="L8" s="70" t="str">
        <f t="shared" si="1"/>
        <v>DONE</v>
      </c>
      <c r="N8" s="70">
        <f t="shared" si="2"/>
        <v>0.5</v>
      </c>
      <c r="O8" s="71" t="s">
        <v>41</v>
      </c>
      <c r="P8" s="71">
        <v>14.0</v>
      </c>
    </row>
    <row r="9" ht="14.25" customHeight="1">
      <c r="B9" s="73">
        <v>14.2</v>
      </c>
      <c r="C9" s="74" t="s">
        <v>42</v>
      </c>
      <c r="D9" s="23">
        <v>0.5</v>
      </c>
      <c r="E9" s="34"/>
      <c r="F9" s="31"/>
      <c r="G9" s="31"/>
      <c r="H9" s="31"/>
      <c r="I9" s="63">
        <v>0.25</v>
      </c>
      <c r="J9" s="60">
        <v>0.25</v>
      </c>
      <c r="K9" s="31"/>
      <c r="L9" s="70" t="str">
        <f t="shared" si="1"/>
        <v>DONE</v>
      </c>
      <c r="N9" s="70">
        <f t="shared" si="2"/>
        <v>0.5</v>
      </c>
      <c r="O9" s="71" t="s">
        <v>39</v>
      </c>
      <c r="P9" s="71">
        <v>14.0</v>
      </c>
    </row>
    <row r="10" ht="14.25" customHeight="1">
      <c r="B10" s="73">
        <v>14.3</v>
      </c>
      <c r="C10" s="74" t="s">
        <v>43</v>
      </c>
      <c r="D10" s="29">
        <v>0.5</v>
      </c>
      <c r="E10" s="34">
        <v>0.25</v>
      </c>
      <c r="F10" s="31"/>
      <c r="G10" s="31"/>
      <c r="H10" s="31"/>
      <c r="I10" s="32"/>
      <c r="J10" s="60">
        <v>0.25</v>
      </c>
      <c r="K10" s="31"/>
      <c r="L10" s="70" t="str">
        <f t="shared" si="1"/>
        <v>DONE</v>
      </c>
      <c r="N10" s="70">
        <f t="shared" si="2"/>
        <v>0.5</v>
      </c>
      <c r="O10" s="71" t="s">
        <v>44</v>
      </c>
      <c r="P10" s="71">
        <v>14.0</v>
      </c>
    </row>
    <row r="11" ht="14.25" customHeight="1">
      <c r="B11" s="73">
        <v>14.4</v>
      </c>
      <c r="C11" s="74" t="s">
        <v>45</v>
      </c>
      <c r="D11" s="29">
        <v>0.5</v>
      </c>
      <c r="E11" s="34"/>
      <c r="F11" s="31"/>
      <c r="G11" s="31"/>
      <c r="H11" s="60">
        <v>0.25</v>
      </c>
      <c r="I11" s="32"/>
      <c r="J11" s="31"/>
      <c r="K11" s="60">
        <v>0.25</v>
      </c>
      <c r="L11" s="70" t="str">
        <f t="shared" si="1"/>
        <v>DONE</v>
      </c>
      <c r="N11" s="70">
        <f t="shared" si="2"/>
        <v>0.5</v>
      </c>
      <c r="O11" s="71" t="s">
        <v>37</v>
      </c>
      <c r="P11" s="71">
        <v>14.0</v>
      </c>
    </row>
    <row r="12" ht="14.25" customHeight="1">
      <c r="B12" s="73">
        <v>14.5</v>
      </c>
      <c r="C12" s="75" t="s">
        <v>46</v>
      </c>
      <c r="D12" s="23">
        <v>0.5</v>
      </c>
      <c r="E12" s="34"/>
      <c r="F12" s="31"/>
      <c r="G12" s="31"/>
      <c r="H12" s="31"/>
      <c r="I12" s="32"/>
      <c r="J12" s="60">
        <v>0.25</v>
      </c>
      <c r="K12" s="31"/>
      <c r="L12" s="70" t="str">
        <f t="shared" si="1"/>
        <v>NOT ENOUGH WORK YET</v>
      </c>
      <c r="N12" s="70">
        <f t="shared" si="2"/>
        <v>0.25</v>
      </c>
      <c r="O12" s="71" t="s">
        <v>47</v>
      </c>
      <c r="P12" s="71">
        <v>14.0</v>
      </c>
    </row>
    <row r="13" ht="14.25" customHeight="1">
      <c r="B13" s="73">
        <v>14.6</v>
      </c>
      <c r="C13" s="75" t="s">
        <v>48</v>
      </c>
      <c r="D13" s="29">
        <v>0.5</v>
      </c>
      <c r="E13" s="34"/>
      <c r="F13" s="60">
        <v>0.25</v>
      </c>
      <c r="G13" s="60">
        <v>0.25</v>
      </c>
      <c r="H13" s="60"/>
      <c r="I13" s="32"/>
      <c r="J13" s="31"/>
      <c r="K13" s="31"/>
      <c r="L13" s="70" t="str">
        <f t="shared" si="1"/>
        <v>DONE</v>
      </c>
      <c r="N13" s="70">
        <f t="shared" si="2"/>
        <v>0.5</v>
      </c>
      <c r="O13" s="71" t="s">
        <v>49</v>
      </c>
      <c r="P13" s="71">
        <v>14.0</v>
      </c>
    </row>
    <row r="14" ht="14.25" customHeight="1">
      <c r="B14" s="73">
        <v>15.1</v>
      </c>
      <c r="C14" s="71" t="s">
        <v>50</v>
      </c>
      <c r="D14" s="29">
        <v>0.5</v>
      </c>
      <c r="E14" s="34"/>
      <c r="F14" s="31"/>
      <c r="G14" s="31"/>
      <c r="H14" s="31"/>
      <c r="I14" s="32"/>
      <c r="J14" s="31"/>
      <c r="K14" s="60">
        <v>0.2</v>
      </c>
      <c r="L14" s="70" t="str">
        <f t="shared" si="1"/>
        <v>NOT ENOUGH WORK YET</v>
      </c>
      <c r="N14" s="70">
        <f t="shared" si="2"/>
        <v>0.2</v>
      </c>
      <c r="O14" s="71" t="s">
        <v>41</v>
      </c>
      <c r="P14" s="71">
        <v>15.0</v>
      </c>
    </row>
    <row r="15" ht="14.25" customHeight="1">
      <c r="B15" s="73">
        <v>15.2</v>
      </c>
      <c r="C15" s="71" t="s">
        <v>51</v>
      </c>
      <c r="D15" s="23">
        <v>0.5</v>
      </c>
      <c r="E15" s="34"/>
      <c r="F15" s="31"/>
      <c r="G15" s="31"/>
      <c r="H15" s="31"/>
      <c r="I15" s="32"/>
      <c r="J15" s="60">
        <v>0.25</v>
      </c>
      <c r="K15" s="60">
        <v>0.2</v>
      </c>
      <c r="L15" s="70" t="str">
        <f t="shared" si="1"/>
        <v>NOT ENOUGH WORK YET</v>
      </c>
      <c r="N15" s="70">
        <f t="shared" si="2"/>
        <v>0.45</v>
      </c>
      <c r="O15" s="71" t="s">
        <v>39</v>
      </c>
      <c r="P15" s="71">
        <v>15.0</v>
      </c>
    </row>
    <row r="16" ht="14.25" customHeight="1">
      <c r="B16" s="73">
        <v>15.3</v>
      </c>
      <c r="C16" s="71" t="s">
        <v>52</v>
      </c>
      <c r="D16" s="29">
        <v>0.5</v>
      </c>
      <c r="E16" s="34"/>
      <c r="F16" s="31"/>
      <c r="G16" s="31"/>
      <c r="H16" s="31"/>
      <c r="I16" s="63">
        <v>0.1</v>
      </c>
      <c r="J16" s="60">
        <v>0.3</v>
      </c>
      <c r="K16" s="31"/>
      <c r="L16" s="70" t="str">
        <f t="shared" si="1"/>
        <v>NOT ENOUGH WORK YET</v>
      </c>
      <c r="N16" s="70">
        <f t="shared" si="2"/>
        <v>0.4</v>
      </c>
      <c r="O16" s="71" t="s">
        <v>44</v>
      </c>
      <c r="P16" s="71">
        <v>15.0</v>
      </c>
    </row>
    <row r="17" ht="14.25" customHeight="1">
      <c r="B17" s="73">
        <v>15.4</v>
      </c>
      <c r="C17" s="71" t="s">
        <v>53</v>
      </c>
      <c r="D17" s="29">
        <v>0.5</v>
      </c>
      <c r="E17" s="34"/>
      <c r="F17" s="31"/>
      <c r="G17" s="31"/>
      <c r="H17" s="60">
        <v>0.2</v>
      </c>
      <c r="I17" s="32"/>
      <c r="J17" s="31"/>
      <c r="K17" s="60">
        <v>0.2</v>
      </c>
      <c r="L17" s="70" t="str">
        <f t="shared" si="1"/>
        <v>NOT ENOUGH WORK YET</v>
      </c>
      <c r="N17" s="70">
        <f t="shared" si="2"/>
        <v>0.4</v>
      </c>
      <c r="O17" s="71" t="s">
        <v>37</v>
      </c>
      <c r="P17" s="71">
        <v>15.0</v>
      </c>
    </row>
    <row r="18" ht="14.25" customHeight="1">
      <c r="B18" s="73">
        <v>15.5</v>
      </c>
      <c r="C18" s="71" t="s">
        <v>54</v>
      </c>
      <c r="D18" s="23">
        <v>0.5</v>
      </c>
      <c r="E18" s="34"/>
      <c r="F18" s="31"/>
      <c r="G18" s="31"/>
      <c r="H18" s="31"/>
      <c r="I18" s="32"/>
      <c r="J18" s="31"/>
      <c r="K18" s="31"/>
      <c r="L18" s="70" t="str">
        <f t="shared" si="1"/>
        <v>NOT STARTED</v>
      </c>
      <c r="N18" s="70">
        <f t="shared" si="2"/>
        <v>0</v>
      </c>
      <c r="O18" s="71" t="s">
        <v>47</v>
      </c>
      <c r="P18" s="71">
        <v>15.0</v>
      </c>
    </row>
    <row r="19" ht="14.25" customHeight="1">
      <c r="B19" s="73">
        <v>15.6</v>
      </c>
      <c r="C19" s="71" t="s">
        <v>55</v>
      </c>
      <c r="D19" s="29">
        <v>0.5</v>
      </c>
      <c r="E19" s="34"/>
      <c r="F19" s="31"/>
      <c r="G19" s="31"/>
      <c r="H19" s="60">
        <v>0.25</v>
      </c>
      <c r="I19" s="63">
        <v>0.1</v>
      </c>
      <c r="J19" s="31"/>
      <c r="K19" s="31"/>
      <c r="L19" s="70" t="str">
        <f t="shared" si="1"/>
        <v>NOT ENOUGH WORK YET</v>
      </c>
      <c r="N19" s="70">
        <f t="shared" si="2"/>
        <v>0.35</v>
      </c>
      <c r="O19" s="71" t="s">
        <v>49</v>
      </c>
      <c r="P19" s="71">
        <v>15.0</v>
      </c>
    </row>
    <row r="20" ht="14.25" customHeight="1">
      <c r="B20" s="73">
        <v>16.1</v>
      </c>
      <c r="C20" s="74" t="s">
        <v>56</v>
      </c>
      <c r="D20" s="29">
        <v>0.5</v>
      </c>
      <c r="E20" s="34"/>
      <c r="F20" s="60">
        <v>0.1</v>
      </c>
      <c r="G20" s="60">
        <v>0.1</v>
      </c>
      <c r="H20" s="31"/>
      <c r="I20" s="32"/>
      <c r="J20" s="60">
        <v>0.1</v>
      </c>
      <c r="K20" s="60">
        <v>0.2</v>
      </c>
      <c r="L20" s="70" t="str">
        <f t="shared" si="1"/>
        <v>DONE</v>
      </c>
      <c r="N20" s="70">
        <f t="shared" si="2"/>
        <v>0.5</v>
      </c>
      <c r="O20" s="71" t="s">
        <v>41</v>
      </c>
      <c r="P20" s="71">
        <v>16.0</v>
      </c>
    </row>
    <row r="21" ht="14.25" customHeight="1">
      <c r="B21" s="73">
        <v>16.2</v>
      </c>
      <c r="C21" s="74" t="s">
        <v>57</v>
      </c>
      <c r="D21" s="23">
        <v>0.5</v>
      </c>
      <c r="E21" s="34"/>
      <c r="F21" s="31"/>
      <c r="G21" s="31"/>
      <c r="H21" s="31"/>
      <c r="I21" s="63">
        <v>0.1</v>
      </c>
      <c r="J21" s="60">
        <v>0.2</v>
      </c>
      <c r="K21" s="60">
        <v>0.2</v>
      </c>
      <c r="L21" s="70" t="str">
        <f t="shared" si="1"/>
        <v>DONE</v>
      </c>
      <c r="N21" s="70">
        <f t="shared" si="2"/>
        <v>0.5</v>
      </c>
      <c r="O21" s="71" t="s">
        <v>39</v>
      </c>
      <c r="P21" s="71">
        <v>16.0</v>
      </c>
    </row>
    <row r="22" ht="14.25" customHeight="1">
      <c r="B22" s="73">
        <v>16.3</v>
      </c>
      <c r="C22" s="74" t="s">
        <v>58</v>
      </c>
      <c r="D22" s="29">
        <v>0.5</v>
      </c>
      <c r="E22" s="34">
        <v>0.1</v>
      </c>
      <c r="F22" s="31"/>
      <c r="G22" s="31"/>
      <c r="H22" s="31"/>
      <c r="I22" s="63">
        <v>0.1</v>
      </c>
      <c r="J22" s="60">
        <v>0.1</v>
      </c>
      <c r="K22" s="60">
        <v>0.2</v>
      </c>
      <c r="L22" s="70" t="str">
        <f t="shared" si="1"/>
        <v>DONE</v>
      </c>
      <c r="N22" s="70">
        <f t="shared" si="2"/>
        <v>0.5</v>
      </c>
      <c r="O22" s="71" t="s">
        <v>44</v>
      </c>
      <c r="P22" s="71">
        <v>16.0</v>
      </c>
    </row>
    <row r="23" ht="14.25" customHeight="1">
      <c r="B23" s="73">
        <v>16.4</v>
      </c>
      <c r="C23" s="74" t="s">
        <v>59</v>
      </c>
      <c r="D23" s="29">
        <v>0.5</v>
      </c>
      <c r="E23" s="34"/>
      <c r="F23" s="31"/>
      <c r="G23" s="31"/>
      <c r="H23" s="31"/>
      <c r="I23" s="32"/>
      <c r="J23" s="31"/>
      <c r="K23" s="60">
        <v>0.25</v>
      </c>
      <c r="L23" s="70" t="str">
        <f t="shared" si="1"/>
        <v>NOT ENOUGH WORK YET</v>
      </c>
      <c r="N23" s="70">
        <f t="shared" si="2"/>
        <v>0.25</v>
      </c>
      <c r="O23" s="71" t="s">
        <v>37</v>
      </c>
      <c r="P23" s="71">
        <v>16.0</v>
      </c>
    </row>
    <row r="24" ht="14.25" customHeight="1">
      <c r="B24" s="73">
        <v>16.5</v>
      </c>
      <c r="C24" s="74" t="s">
        <v>60</v>
      </c>
      <c r="D24" s="23">
        <v>0.5</v>
      </c>
      <c r="E24" s="34"/>
      <c r="F24" s="31"/>
      <c r="G24" s="31"/>
      <c r="H24" s="31"/>
      <c r="I24" s="32"/>
      <c r="J24" s="31"/>
      <c r="K24" s="60"/>
      <c r="L24" s="70" t="str">
        <f t="shared" si="1"/>
        <v>NOT STARTED</v>
      </c>
      <c r="N24" s="70">
        <f t="shared" si="2"/>
        <v>0</v>
      </c>
      <c r="O24" s="71" t="s">
        <v>47</v>
      </c>
      <c r="P24" s="71">
        <v>16.0</v>
      </c>
    </row>
    <row r="25" ht="14.25" customHeight="1">
      <c r="B25" s="73">
        <v>16.6</v>
      </c>
      <c r="C25" s="74" t="s">
        <v>61</v>
      </c>
      <c r="D25" s="29">
        <v>0.5</v>
      </c>
      <c r="E25" s="34"/>
      <c r="F25" s="31">
        <v>0.25</v>
      </c>
      <c r="G25" s="31"/>
      <c r="H25" s="31"/>
      <c r="I25" s="32"/>
      <c r="J25" s="31"/>
      <c r="K25" s="31"/>
      <c r="L25" s="70" t="str">
        <f t="shared" si="1"/>
        <v>NOT ENOUGH WORK YET</v>
      </c>
      <c r="N25" s="70">
        <f t="shared" si="2"/>
        <v>0.25</v>
      </c>
      <c r="O25" s="71" t="s">
        <v>49</v>
      </c>
      <c r="P25" s="71">
        <v>16.0</v>
      </c>
    </row>
    <row r="26" ht="14.25" customHeight="1">
      <c r="B26" s="73">
        <v>17.1</v>
      </c>
      <c r="C26" s="71" t="s">
        <v>62</v>
      </c>
      <c r="D26" s="29">
        <v>0.5</v>
      </c>
      <c r="E26" s="34"/>
      <c r="F26" s="31">
        <v>0.25</v>
      </c>
      <c r="G26" s="31"/>
      <c r="H26" s="31"/>
      <c r="I26" s="32"/>
      <c r="J26" s="60">
        <v>0.25</v>
      </c>
      <c r="K26" s="31"/>
      <c r="L26" s="70" t="str">
        <f t="shared" si="1"/>
        <v>DONE</v>
      </c>
      <c r="N26" s="70">
        <f t="shared" si="2"/>
        <v>0.5</v>
      </c>
      <c r="O26" s="71" t="s">
        <v>41</v>
      </c>
      <c r="P26" s="71">
        <v>17.0</v>
      </c>
    </row>
    <row r="27" ht="14.25" customHeight="1">
      <c r="B27" s="73">
        <v>17.2</v>
      </c>
      <c r="C27" s="71" t="s">
        <v>63</v>
      </c>
      <c r="D27" s="23">
        <v>0.5</v>
      </c>
      <c r="E27" s="34"/>
      <c r="F27" s="31"/>
      <c r="G27" s="31"/>
      <c r="H27" s="31"/>
      <c r="I27" s="63">
        <v>0.2</v>
      </c>
      <c r="J27" s="60">
        <v>0.2</v>
      </c>
      <c r="K27" s="60">
        <v>0.1</v>
      </c>
      <c r="L27" s="70" t="str">
        <f t="shared" si="1"/>
        <v>DONE</v>
      </c>
      <c r="N27" s="70">
        <f t="shared" si="2"/>
        <v>0.5</v>
      </c>
      <c r="O27" s="71" t="s">
        <v>39</v>
      </c>
      <c r="P27" s="71">
        <v>17.0</v>
      </c>
    </row>
    <row r="28" ht="14.25" customHeight="1">
      <c r="B28" s="73">
        <v>17.3</v>
      </c>
      <c r="C28" s="71" t="s">
        <v>64</v>
      </c>
      <c r="D28" s="29">
        <v>0.5</v>
      </c>
      <c r="E28" s="34"/>
      <c r="F28" s="31"/>
      <c r="G28" s="31"/>
      <c r="H28" s="31"/>
      <c r="I28" s="63">
        <v>0.2</v>
      </c>
      <c r="J28" s="60">
        <v>0.2</v>
      </c>
      <c r="K28" s="60">
        <v>0.1</v>
      </c>
      <c r="L28" s="70" t="str">
        <f t="shared" si="1"/>
        <v>DONE</v>
      </c>
      <c r="N28" s="70">
        <f t="shared" si="2"/>
        <v>0.5</v>
      </c>
      <c r="O28" s="71" t="s">
        <v>44</v>
      </c>
      <c r="P28" s="71">
        <v>17.0</v>
      </c>
    </row>
    <row r="29" ht="14.25" customHeight="1">
      <c r="B29" s="73">
        <v>17.4</v>
      </c>
      <c r="C29" s="71" t="s">
        <v>65</v>
      </c>
      <c r="D29" s="29">
        <v>0.5</v>
      </c>
      <c r="E29" s="34"/>
      <c r="F29" s="31"/>
      <c r="G29" s="31"/>
      <c r="H29" s="31"/>
      <c r="I29" s="32"/>
      <c r="J29" s="31"/>
      <c r="K29" s="60">
        <v>0.2</v>
      </c>
      <c r="L29" s="70" t="str">
        <f t="shared" si="1"/>
        <v>NOT ENOUGH WORK YET</v>
      </c>
      <c r="N29" s="70">
        <f t="shared" si="2"/>
        <v>0.2</v>
      </c>
      <c r="O29" s="71" t="s">
        <v>37</v>
      </c>
      <c r="P29" s="71">
        <v>17.0</v>
      </c>
    </row>
    <row r="30" ht="14.25" customHeight="1">
      <c r="B30" s="73">
        <v>17.5</v>
      </c>
      <c r="C30" s="71" t="s">
        <v>66</v>
      </c>
      <c r="D30" s="23">
        <v>0.5</v>
      </c>
      <c r="E30" s="34"/>
      <c r="F30" s="31"/>
      <c r="G30" s="31"/>
      <c r="H30" s="31"/>
      <c r="I30" s="32"/>
      <c r="J30" s="31"/>
      <c r="K30" s="60"/>
      <c r="L30" s="70" t="str">
        <f t="shared" si="1"/>
        <v>NOT STARTED</v>
      </c>
      <c r="N30" s="70">
        <f t="shared" si="2"/>
        <v>0</v>
      </c>
      <c r="O30" s="71" t="s">
        <v>47</v>
      </c>
      <c r="P30" s="71">
        <v>17.0</v>
      </c>
    </row>
    <row r="31" ht="14.25" customHeight="1">
      <c r="B31" s="73">
        <v>17.6</v>
      </c>
      <c r="C31" s="71" t="s">
        <v>67</v>
      </c>
      <c r="D31" s="29">
        <v>0.5</v>
      </c>
      <c r="E31" s="34"/>
      <c r="F31" s="31">
        <v>0.25</v>
      </c>
      <c r="G31" s="31"/>
      <c r="H31" s="31"/>
      <c r="I31" s="32"/>
      <c r="J31" s="31"/>
      <c r="K31" s="31"/>
      <c r="L31" s="70" t="str">
        <f t="shared" si="1"/>
        <v>NOT ENOUGH WORK YET</v>
      </c>
      <c r="N31" s="70">
        <f t="shared" si="2"/>
        <v>0.25</v>
      </c>
      <c r="O31" s="71" t="s">
        <v>49</v>
      </c>
      <c r="P31" s="71">
        <v>17.0</v>
      </c>
    </row>
    <row r="32" ht="14.25" customHeight="1">
      <c r="B32" s="73">
        <v>18.1</v>
      </c>
      <c r="C32" s="76" t="s">
        <v>68</v>
      </c>
      <c r="D32" s="29">
        <v>0.5</v>
      </c>
      <c r="E32" s="34"/>
      <c r="F32" s="31"/>
      <c r="G32" s="31"/>
      <c r="H32" s="31"/>
      <c r="I32" s="32"/>
      <c r="J32" s="60">
        <v>0.25</v>
      </c>
      <c r="K32" s="60">
        <v>0.15</v>
      </c>
      <c r="L32" s="70" t="str">
        <f t="shared" si="1"/>
        <v>NOT ENOUGH WORK YET</v>
      </c>
      <c r="N32" s="70">
        <f t="shared" si="2"/>
        <v>0.4</v>
      </c>
      <c r="O32" s="71" t="s">
        <v>41</v>
      </c>
      <c r="P32" s="71">
        <v>18.0</v>
      </c>
    </row>
    <row r="33" ht="14.25" customHeight="1">
      <c r="B33" s="77">
        <v>18.2</v>
      </c>
      <c r="C33" s="76" t="s">
        <v>69</v>
      </c>
      <c r="D33" s="23">
        <v>0.5</v>
      </c>
      <c r="E33" s="78"/>
      <c r="F33" s="79"/>
      <c r="G33" s="79"/>
      <c r="H33" s="79"/>
      <c r="I33" s="80"/>
      <c r="J33" s="81">
        <v>0.15</v>
      </c>
      <c r="K33" s="82">
        <v>0.15</v>
      </c>
      <c r="L33" s="70" t="str">
        <f t="shared" si="1"/>
        <v>NOT ENOUGH WORK YET</v>
      </c>
      <c r="N33" s="70">
        <f t="shared" si="2"/>
        <v>0.3</v>
      </c>
      <c r="O33" s="71" t="s">
        <v>39</v>
      </c>
      <c r="P33" s="71">
        <v>18.0</v>
      </c>
    </row>
    <row r="34" ht="14.25" customHeight="1">
      <c r="B34" s="73">
        <v>18.3</v>
      </c>
      <c r="C34" s="76" t="s">
        <v>70</v>
      </c>
      <c r="D34" s="29">
        <v>0.5</v>
      </c>
      <c r="E34" s="78"/>
      <c r="F34" s="79"/>
      <c r="G34" s="79"/>
      <c r="H34" s="79"/>
      <c r="I34" s="80"/>
      <c r="J34" s="81"/>
      <c r="K34" s="82">
        <v>0.4</v>
      </c>
      <c r="L34" s="70" t="str">
        <f t="shared" si="1"/>
        <v>NOT ENOUGH WORK YET</v>
      </c>
      <c r="N34" s="70">
        <f t="shared" si="2"/>
        <v>0.4</v>
      </c>
      <c r="O34" s="71" t="s">
        <v>44</v>
      </c>
      <c r="P34" s="71">
        <v>18.0</v>
      </c>
    </row>
    <row r="35" ht="14.25" customHeight="1">
      <c r="B35" s="77">
        <v>18.4</v>
      </c>
      <c r="C35" s="76" t="s">
        <v>71</v>
      </c>
      <c r="D35" s="29">
        <v>0.5</v>
      </c>
      <c r="E35" s="78"/>
      <c r="F35" s="79"/>
      <c r="G35" s="79"/>
      <c r="H35" s="79"/>
      <c r="I35" s="80"/>
      <c r="J35" s="83"/>
      <c r="K35" s="79"/>
      <c r="L35" s="70" t="str">
        <f t="shared" si="1"/>
        <v>NOT STARTED</v>
      </c>
      <c r="N35" s="70">
        <f t="shared" si="2"/>
        <v>0</v>
      </c>
      <c r="O35" s="71" t="s">
        <v>37</v>
      </c>
      <c r="P35" s="71">
        <v>18.0</v>
      </c>
    </row>
    <row r="36" ht="14.25" customHeight="1">
      <c r="B36" s="73">
        <v>18.5</v>
      </c>
      <c r="C36" s="76" t="s">
        <v>72</v>
      </c>
      <c r="D36" s="23">
        <v>0.5</v>
      </c>
      <c r="E36" s="78"/>
      <c r="F36" s="79"/>
      <c r="G36" s="79"/>
      <c r="H36" s="79"/>
      <c r="I36" s="80"/>
      <c r="J36" s="83"/>
      <c r="K36" s="79"/>
      <c r="L36" s="70" t="str">
        <f t="shared" si="1"/>
        <v>NOT STARTED</v>
      </c>
      <c r="N36" s="70">
        <f t="shared" si="2"/>
        <v>0</v>
      </c>
      <c r="O36" s="71" t="s">
        <v>47</v>
      </c>
      <c r="P36" s="71">
        <v>18.0</v>
      </c>
    </row>
    <row r="37" ht="14.25" customHeight="1">
      <c r="B37" s="77">
        <v>18.6</v>
      </c>
      <c r="C37" s="76" t="s">
        <v>73</v>
      </c>
      <c r="D37" s="29">
        <v>0.5</v>
      </c>
      <c r="E37" s="78"/>
      <c r="F37" s="79"/>
      <c r="G37" s="79"/>
      <c r="H37" s="79"/>
      <c r="I37" s="84">
        <v>0.25</v>
      </c>
      <c r="J37" s="83"/>
      <c r="K37" s="79"/>
      <c r="L37" s="70" t="str">
        <f t="shared" si="1"/>
        <v>NOT ENOUGH WORK YET</v>
      </c>
      <c r="N37" s="70">
        <f t="shared" si="2"/>
        <v>0.25</v>
      </c>
      <c r="O37" s="71" t="s">
        <v>49</v>
      </c>
      <c r="P37" s="71">
        <v>18.0</v>
      </c>
    </row>
    <row r="38" ht="14.25" customHeight="1">
      <c r="B38" s="35" t="s">
        <v>24</v>
      </c>
      <c r="C38" s="36"/>
      <c r="D38" s="37">
        <v>0.0</v>
      </c>
      <c r="E38" s="38">
        <f t="shared" ref="E38:K38" si="3">SUM(E6:E32)</f>
        <v>0.6</v>
      </c>
      <c r="F38" s="39">
        <f t="shared" si="3"/>
        <v>1.35</v>
      </c>
      <c r="G38" s="39">
        <f t="shared" si="3"/>
        <v>0.35</v>
      </c>
      <c r="H38" s="39">
        <f t="shared" si="3"/>
        <v>0.7</v>
      </c>
      <c r="I38" s="40">
        <f t="shared" si="3"/>
        <v>1.05</v>
      </c>
      <c r="J38" s="41">
        <f t="shared" si="3"/>
        <v>2.8</v>
      </c>
      <c r="K38" s="39">
        <f t="shared" si="3"/>
        <v>2.4</v>
      </c>
    </row>
    <row r="39" ht="14.25" customHeight="1">
      <c r="B39" s="43" t="s">
        <v>25</v>
      </c>
      <c r="C39" s="44"/>
      <c r="D39" s="45">
        <f>SUM(D6:D38)</f>
        <v>15.6</v>
      </c>
      <c r="E39" s="46">
        <f t="shared" ref="E39:K39" si="4">D39-SUM(E6:E32)</f>
        <v>15</v>
      </c>
      <c r="F39" s="47">
        <f t="shared" si="4"/>
        <v>13.65</v>
      </c>
      <c r="G39" s="47">
        <f t="shared" si="4"/>
        <v>13.3</v>
      </c>
      <c r="H39" s="47">
        <f t="shared" si="4"/>
        <v>12.6</v>
      </c>
      <c r="I39" s="48">
        <f t="shared" si="4"/>
        <v>11.55</v>
      </c>
      <c r="J39" s="49">
        <f t="shared" si="4"/>
        <v>8.75</v>
      </c>
      <c r="K39" s="49">
        <f t="shared" si="4"/>
        <v>6.35</v>
      </c>
    </row>
    <row r="40" ht="14.25" customHeight="1">
      <c r="B40" s="52" t="s">
        <v>74</v>
      </c>
      <c r="C40" s="53"/>
      <c r="D40" s="85">
        <v>15.6</v>
      </c>
      <c r="E40" s="55">
        <f>$D$40-($D$40/7*1)</f>
        <v>13.37142857</v>
      </c>
      <c r="F40" s="55">
        <f>$D$40-($D$40/7*2)</f>
        <v>11.14285714</v>
      </c>
      <c r="G40" s="55">
        <f>$D$40-($D$40/7*3)</f>
        <v>8.914285714</v>
      </c>
      <c r="H40" s="55">
        <f>$D$40-($D$40/7*4)</f>
        <v>6.685714286</v>
      </c>
      <c r="I40" s="56">
        <f>$D$40-($D$40/7*5)</f>
        <v>4.457142857</v>
      </c>
      <c r="J40" s="56">
        <f>$D$40-($D$40/7*6)</f>
        <v>2.228571429</v>
      </c>
      <c r="K40" s="55">
        <f>$D$40-($D$40/7*7)</f>
        <v>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2:K2"/>
    <mergeCell ref="E3:K3"/>
    <mergeCell ref="B4:B5"/>
    <mergeCell ref="C4:C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7:M37"/>
    <mergeCell ref="B38:C38"/>
    <mergeCell ref="B39:C39"/>
    <mergeCell ref="B40:C40"/>
    <mergeCell ref="L30:M30"/>
    <mergeCell ref="L31:M31"/>
    <mergeCell ref="L32:M32"/>
    <mergeCell ref="L33:M33"/>
    <mergeCell ref="L34:M34"/>
    <mergeCell ref="L35:M35"/>
    <mergeCell ref="L36:M36"/>
  </mergeCells>
  <conditionalFormatting sqref="L6:L37">
    <cfRule type="cellIs" dxfId="0" priority="1" operator="equal">
      <formula>"DONE"</formula>
    </cfRule>
  </conditionalFormatting>
  <conditionalFormatting sqref="L6:M37">
    <cfRule type="cellIs" dxfId="1" priority="2" operator="equal">
      <formula>"NOT ENOUGH WORK YET"</formula>
    </cfRule>
  </conditionalFormatting>
  <conditionalFormatting sqref="L6:M37">
    <cfRule type="cellIs" dxfId="2" priority="3" operator="equal">
      <formula>"ERROR TO MUCH WORK"</formula>
    </cfRule>
  </conditionalFormatting>
  <conditionalFormatting sqref="N8:N37">
    <cfRule type="colorScale" priority="4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conditionalFormatting sqref="L6:M37">
    <cfRule type="cellIs" dxfId="3" priority="5" operator="equal">
      <formula>"NOT STARTED"</formula>
    </cfRule>
  </conditionalFormatting>
  <printOptions/>
  <pageMargins bottom="0.75" footer="0.0" header="0.0" left="0.7" right="0.7" top="0.75"/>
  <pageSetup orientation="portrait"/>
  <drawing r:id="rId1"/>
</worksheet>
</file>