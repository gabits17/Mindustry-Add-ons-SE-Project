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urndown Chart Sprint1" sheetId="1" state="visible" r:id="rId3"/>
    <sheet name="Burndown Chart Sprint2" sheetId="2" state="visible" r:id="rId4"/>
    <sheet name="Burndown Chart Sprint3" sheetId="3" state="visible" r:id="rId5"/>
    <sheet name="Burndown Chart Sprint4" sheetId="4" state="visible" r:id="rId6"/>
    <sheet name="Burndown Chart Sprint5" sheetId="5" state="visible" r:id="rId7"/>
    <sheet name="Burndown Chart Sprint6" sheetId="6" state="visible" r:id="rId8"/>
    <sheet name="Burndown Chart Sprint7" sheetId="7" state="visible" r:id="rId9"/>
  </sheets>
  <externalReferences>
    <externalReference r:id="rId10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<sst xmlns="http://schemas.openxmlformats.org/spreadsheetml/2006/main" count="467" uniqueCount="167">
  <si>
    <t xml:space="preserve">Sprint 1 Burndown Chart</t>
  </si>
  <si>
    <t xml:space="preserve">Sprint 1</t>
  </si>
  <si>
    <t xml:space="preserve">Task ID</t>
  </si>
  <si>
    <t xml:space="preserve">Descrição da Tarefa</t>
  </si>
  <si>
    <t xml:space="preserve">Estimativa Inicial</t>
  </si>
  <si>
    <t xml:space="preserve">Dia 0</t>
  </si>
  <si>
    <t xml:space="preserve">Dia 1</t>
  </si>
  <si>
    <t xml:space="preserve">Dia 2</t>
  </si>
  <si>
    <t xml:space="preserve">Dia 3</t>
  </si>
  <si>
    <t xml:space="preserve">Dia 4</t>
  </si>
  <si>
    <t xml:space="preserve">Dia 5</t>
  </si>
  <si>
    <t xml:space="preserve">Dia 6</t>
  </si>
  <si>
    <t xml:space="preserve">Dia 7</t>
  </si>
  <si>
    <t xml:space="preserve">Dia 8</t>
  </si>
  <si>
    <t xml:space="preserve">Dia 9</t>
  </si>
  <si>
    <t xml:space="preserve">Dia 10</t>
  </si>
  <si>
    <t xml:space="preserve">Dia 11</t>
  </si>
  <si>
    <t xml:space="preserve">Dia 12</t>
  </si>
  <si>
    <t xml:space="preserve">T1: Play the first area of the game</t>
  </si>
  <si>
    <t xml:space="preserve">T2: Read through the classes in the codebase.</t>
  </si>
  <si>
    <t xml:space="preserve">T3: Define roughly functionality 1.</t>
  </si>
  <si>
    <t xml:space="preserve">T4: Define roughly functionality 2.</t>
  </si>
  <si>
    <t xml:space="preserve">T5: Define roughly functionality 3.</t>
  </si>
  <si>
    <t xml:space="preserve">T6: Trial modification of code.</t>
  </si>
  <si>
    <t xml:space="preserve">Esforço Completo</t>
  </si>
  <si>
    <t xml:space="preserve">Esforço Restante</t>
  </si>
  <si>
    <r>
      <rPr>
        <b val="true"/>
        <i val="true"/>
        <sz val="11"/>
        <color rgb="FF000000"/>
        <rFont val="Calibri"/>
        <family val="2"/>
        <charset val="1"/>
      </rPr>
      <t xml:space="preserve">Burndown </t>
    </r>
    <r>
      <rPr>
        <b val="true"/>
        <sz val="11"/>
        <color rgb="FF000000"/>
        <rFont val="Calibri"/>
        <family val="2"/>
        <charset val="1"/>
      </rPr>
      <t xml:space="preserve">Ideal</t>
    </r>
  </si>
  <si>
    <t xml:space="preserve">Sprint 2 Burndown Chart</t>
  </si>
  <si>
    <t xml:space="preserve">Sprint 2</t>
  </si>
  <si>
    <t xml:space="preserve">T7: Make feature goals more specific.
</t>
  </si>
  <si>
    <t xml:space="preserve">T8: Brainstorm further features for replacement (if necessary).</t>
  </si>
  <si>
    <t xml:space="preserve">T9: Study code associated to undo/redo feature</t>
  </si>
  <si>
    <t xml:space="preserve">T10: Study code associated to water piping system.
</t>
  </si>
  <si>
    <t xml:space="preserve">T11: Define functionality 1</t>
  </si>
  <si>
    <t xml:space="preserve">T12: Define functionality 2.</t>
  </si>
  <si>
    <t xml:space="preserve">T13: Define functionality 3.</t>
  </si>
  <si>
    <t xml:space="preserve">Sprint 3 Burndown Chart</t>
  </si>
  <si>
    <t xml:space="preserve">Sprint 3</t>
  </si>
  <si>
    <t xml:space="preserve">Carolina</t>
  </si>
  <si>
    <t xml:space="preserve">T11: Study code associated to water piping system.</t>
  </si>
  <si>
    <t xml:space="preserve">Diogo</t>
  </si>
  <si>
    <t xml:space="preserve">T14.1: Revisit the read code, and find code smells. </t>
  </si>
  <si>
    <t xml:space="preserve">Gabriela</t>
  </si>
  <si>
    <t xml:space="preserve">T14.2: Revisit the read code, and find code smells. </t>
  </si>
  <si>
    <t xml:space="preserve">T14.3: Revisit the read code, and find code smells.</t>
  </si>
  <si>
    <t xml:space="preserve">Gabriel</t>
  </si>
  <si>
    <t xml:space="preserve">T14.4: Revisit the read code, and find code smells.</t>
  </si>
  <si>
    <t xml:space="preserve">T14.5: Revisit the read code, and find code smells.</t>
  </si>
  <si>
    <t xml:space="preserve">Dinis</t>
  </si>
  <si>
    <t xml:space="preserve">T14.6: Revisit the read code, and find code smells.</t>
  </si>
  <si>
    <t xml:space="preserve">Manel</t>
  </si>
  <si>
    <t xml:space="preserve">T15.1: Document found code smells, and brainstorm possible solutions.</t>
  </si>
  <si>
    <t xml:space="preserve">T15.2: Document found code smells, and brainstorm possible solutions.</t>
  </si>
  <si>
    <t xml:space="preserve">T15.3: Document found code smells, and brainstorm possible solutions.</t>
  </si>
  <si>
    <t xml:space="preserve">T15.4: Document found code smells, and brainstorm possible solutions.</t>
  </si>
  <si>
    <t xml:space="preserve">T15.5: Document found code smells, and brainstorm possible solutions.</t>
  </si>
  <si>
    <t xml:space="preserve">T15.6: Document found code smells, and brainstorm possible solutions.</t>
  </si>
  <si>
    <t xml:space="preserve">T16.1: Revisit the read code, and find design patterns. </t>
  </si>
  <si>
    <t xml:space="preserve">T16.2: Revisit the read code, and find design patterns. </t>
  </si>
  <si>
    <t xml:space="preserve">T16.3: Revisit the read code, and find design patterns. </t>
  </si>
  <si>
    <t xml:space="preserve">T16.4: Revisit the read code, and find design patterns. </t>
  </si>
  <si>
    <t xml:space="preserve">T16.5: Revisit the read code, and find design patterns. </t>
  </si>
  <si>
    <t xml:space="preserve">T16.6: Revisit the read code, and find design patterns. </t>
  </si>
  <si>
    <t xml:space="preserve">T17.1: Find code blocks, where some design patterns may be implemented.</t>
  </si>
  <si>
    <t xml:space="preserve">T17.2: Find code blocks, where some design patterns may be implemented.</t>
  </si>
  <si>
    <t xml:space="preserve">T17.3: Find code blocks, where some design patterns may be implemented.</t>
  </si>
  <si>
    <t xml:space="preserve">T17.4: Find code blocks, where some design patterns may be implemented.</t>
  </si>
  <si>
    <t xml:space="preserve">T17.5: Find code blocks, where some design patterns may be implemented.</t>
  </si>
  <si>
    <t xml:space="preserve">T17.6: Find code blocks, where some design patterns may be implemented.</t>
  </si>
  <si>
    <t xml:space="preserve">T18.1: Document found design patterns, and think about possible improvements.</t>
  </si>
  <si>
    <t xml:space="preserve">T18.2: Document found design patterns, and think about possible improvements.</t>
  </si>
  <si>
    <t xml:space="preserve">T18.3: Document found design patterns, and think about possible improvements.</t>
  </si>
  <si>
    <t xml:space="preserve">T18.4: Document found design patterns, and think about possible improvements.</t>
  </si>
  <si>
    <t xml:space="preserve">T18.5: Document found design patterns, and think about possible improvements.</t>
  </si>
  <si>
    <t xml:space="preserve">T18.6: Document found design patterns, and think about possible improvements.</t>
  </si>
  <si>
    <t xml:space="preserve">Sprint 4 Burndown Chart</t>
  </si>
  <si>
    <t xml:space="preserve">Sprint 4</t>
  </si>
  <si>
    <t xml:space="preserve">2-nov.-25</t>
  </si>
  <si>
    <t xml:space="preserve">3-nov.-25</t>
  </si>
  <si>
    <t xml:space="preserve">4-nov.-25</t>
  </si>
  <si>
    <t xml:space="preserve">5-nov.-25</t>
  </si>
  <si>
    <t xml:space="preserve">6-nov.-25</t>
  </si>
  <si>
    <t xml:space="preserve">7-nov.-25</t>
  </si>
  <si>
    <t xml:space="preserve">8-nov.-25</t>
  </si>
  <si>
    <t xml:space="preserve">$$</t>
  </si>
  <si>
    <t xml:space="preserve">T14.1: Revisit the read code, and find code smells.</t>
  </si>
  <si>
    <t xml:space="preserve">DONE</t>
  </si>
  <si>
    <t xml:space="preserve">T16.4: Revisit the read code, and find design patterns.</t>
  </si>
  <si>
    <t xml:space="preserve">T16.5: Revisit the read code, and find design patterns.</t>
  </si>
  <si>
    <t xml:space="preserve">T16.6: Revisit the read code, and find design patterns.</t>
  </si>
  <si>
    <t xml:space="preserve">T19.1: Revisit the read code, and study the associated metrics.</t>
  </si>
  <si>
    <t xml:space="preserve">T19.2: Revisit the read code, and study the associated metrics.</t>
  </si>
  <si>
    <t xml:space="preserve">T19.3: Revisit the read code, and study the associated metrics.</t>
  </si>
  <si>
    <t xml:space="preserve">T19.4: Revisit the read code, and study the associated metrics.</t>
  </si>
  <si>
    <t xml:space="preserve">T19.5: Revisit the read code, and study the associated metrics.</t>
  </si>
  <si>
    <t xml:space="preserve">T19.6: Revisit the read code, and study the associated metrics.</t>
  </si>
  <si>
    <t xml:space="preserve">T20.1: Document said metrics.</t>
  </si>
  <si>
    <t xml:space="preserve">T20.2: Document said metrics.</t>
  </si>
  <si>
    <t xml:space="preserve">T20.3: Document said metrics.</t>
  </si>
  <si>
    <t xml:space="preserve">T20.4: Document said metrics.</t>
  </si>
  <si>
    <t xml:space="preserve">T20.5: Document said metrics.</t>
  </si>
  <si>
    <t xml:space="preserve">T20.6: Document said metrics.</t>
  </si>
  <si>
    <t xml:space="preserve">T21.1: Revisit the read code, and choose a part of the system to work on.</t>
  </si>
  <si>
    <t xml:space="preserve">T21.2: Revisit the read code, and choose a part of the system to work on.</t>
  </si>
  <si>
    <t xml:space="preserve">T21.3: Revisit the read code, and choose a part of the system to work on.</t>
  </si>
  <si>
    <t xml:space="preserve">T21.4: Revisit the read code, and choose a part of the system to work on.</t>
  </si>
  <si>
    <t xml:space="preserve">T21.5: Revisit the read code, and choose a part of the system to work on.</t>
  </si>
  <si>
    <t xml:space="preserve">T21.6: Revisit the read code, and choose a part of the system to work on.</t>
  </si>
  <si>
    <t xml:space="preserve">T22.1: Develop the Use Case Diagram of the chosen system part.</t>
  </si>
  <si>
    <t xml:space="preserve">T22.2: Develop the Use Case Diagram of the chosen system part.</t>
  </si>
  <si>
    <t xml:space="preserve">T22.3: Develop the Use Case Diagram of the chosen system part.</t>
  </si>
  <si>
    <t xml:space="preserve">T22.4: Develop the Use Case Diagram of the chosen system part.</t>
  </si>
  <si>
    <t xml:space="preserve">T22.5: Develop the Use Case Diagram of the chosen system part.</t>
  </si>
  <si>
    <t xml:space="preserve">T22.6: Develop the Use Case Diagram of the chosen system part.</t>
  </si>
  <si>
    <t xml:space="preserve">Sprint 5 Burndown Chart</t>
  </si>
  <si>
    <t xml:space="preserve">Sprint 5</t>
  </si>
  <si>
    <t xml:space="preserve">T23: Review and look into what a Use case diagram covering undo/redo added feature would look like.</t>
  </si>
  <si>
    <t xml:space="preserve">T24: Review and look into what a Use case diagram covering leakage added feature would look like.</t>
  </si>
  <si>
    <t xml:space="preserve">T25: Go over milestone 2 reviews and identify issues that can be worked on.</t>
  </si>
  <si>
    <t xml:space="preserve">T26: identify areas of code relating to leaks.</t>
  </si>
  <si>
    <t xml:space="preserve">T27: Work on implementing US1 (Undo / Redo).</t>
  </si>
  <si>
    <t xml:space="preserve">T28: Work on implementing US2 (Leaks).</t>
  </si>
  <si>
    <t xml:space="preserve">T29: Look into relevant code for implementing US3 (turret targeting)</t>
  </si>
  <si>
    <t xml:space="preserve">T30: Look into relevant code for implementing US4 (copy and its history)</t>
  </si>
  <si>
    <t xml:space="preserve">Sprint 6 Burndown Chart</t>
  </si>
  <si>
    <t xml:space="preserve">Sprint 6</t>
  </si>
  <si>
    <t xml:space="preserve">31.1</t>
  </si>
  <si>
    <t xml:space="preserve">Work on implementing US3 (turret's targeting).</t>
  </si>
  <si>
    <t xml:space="preserve">31.2</t>
  </si>
  <si>
    <t xml:space="preserve">32.1</t>
  </si>
  <si>
    <t xml:space="preserve">Work on implementing US4 (copy and its history).</t>
  </si>
  <si>
    <t xml:space="preserve">32.2</t>
  </si>
  <si>
    <t xml:space="preserve">Manuel</t>
  </si>
  <si>
    <t xml:space="preserve">33.1</t>
  </si>
  <si>
    <t xml:space="preserve">Look into what a Use Case covering US3 would look like (turret's targeting).</t>
  </si>
  <si>
    <t xml:space="preserve">33.2</t>
  </si>
  <si>
    <t xml:space="preserve">34.1</t>
  </si>
  <si>
    <t xml:space="preserve">Look into what a Use Case covering US4 would look like (copy and its history).</t>
  </si>
  <si>
    <t xml:space="preserve">34.2</t>
  </si>
  <si>
    <t xml:space="preserve">Work on the extensive version of US1's use case (undo/redo).</t>
  </si>
  <si>
    <t xml:space="preserve">Work on the extensive version of US2's use case (liquid leak checking).</t>
  </si>
  <si>
    <t xml:space="preserve">37.1</t>
  </si>
  <si>
    <t xml:space="preserve">Work on the extensive version of US3's use case (turret's targeting).</t>
  </si>
  <si>
    <t xml:space="preserve">37.2</t>
  </si>
  <si>
    <t xml:space="preserve">38.1</t>
  </si>
  <si>
    <t xml:space="preserve">Work on the extensive version of US4's use case (copy and its history).</t>
  </si>
  <si>
    <t xml:space="preserve">38.2</t>
  </si>
  <si>
    <t xml:space="preserve">Work on the sequence diagram for US1 (undo/redo).</t>
  </si>
  <si>
    <t xml:space="preserve">Work on the sequence diagram for US2 (liquid leak checking).</t>
  </si>
  <si>
    <t xml:space="preserve">Look into what a Class Diagram covering US1 would look like (undo/redo).</t>
  </si>
  <si>
    <t xml:space="preserve">Look into what a class diagram covering US2 would look like (liquid leak checking).</t>
  </si>
  <si>
    <t xml:space="preserve">Sprint 7 Burndown Chart</t>
  </si>
  <si>
    <t xml:space="preserve">T43:  Look into what a class diagram covering US3 would look like (Swapping turret's targeting priorities).</t>
  </si>
  <si>
    <t xml:space="preserve">T44: Look into what a class diagram covering US4 would look like (Copy and Paste).</t>
  </si>
  <si>
    <t xml:space="preserve">T45: Work on the sequence diagram for US3 (Swapping turret's targeting priorities).</t>
  </si>
  <si>
    <t xml:space="preserve">T46: Work on the sequence diagram for US4 (Copy and Paste).</t>
  </si>
  <si>
    <t xml:space="preserve">T47: Design and perform unit tests US1 (undo/redo)</t>
  </si>
  <si>
    <t xml:space="preserve">T48: Design and perform unit tests US2 (liquid leak checking)</t>
  </si>
  <si>
    <t xml:space="preserve">T49: Design and perform unit tests US3 (Swapping turret's targeting priorities)</t>
  </si>
  <si>
    <t xml:space="preserve">T50: Design and perform unit tests US4 (Copy and Paste)</t>
  </si>
  <si>
    <t xml:space="preserve">T51: Elaborate short report on an implementation summary of US1 (undo/redo)</t>
  </si>
  <si>
    <t xml:space="preserve">T52: Elaborate short report on an implementation summary of US2 (liquid leak checking)</t>
  </si>
  <si>
    <t xml:space="preserve">T53: Elaborate short report on an implementation summary of US3 (Swapping turret's targeting priorities)</t>
  </si>
  <si>
    <t xml:space="preserve">T54: Elaborate short report on an implementation summary of US4 (Copy and Paste)</t>
  </si>
  <si>
    <t xml:space="preserve">T55: Additionally refine previously implemented code</t>
  </si>
  <si>
    <t xml:space="preserve">T56: Work on a tour video of the implemented features by the team (up to 5 minutes)</t>
  </si>
  <si>
    <t xml:space="preserve">T57: Work on a scrum board animation video (up to 2 minutes)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</si>
</sst>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757575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rgb="FF1A1A1A"/>
      <name val="Calibri"/>
      <family val="2"/>
    </font>
    <font>
      <sz val="20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548135"/>
        <bgColor rgb="FF757575"/>
      </patternFill>
    </fill>
    <fill>
      <patternFill patternType="solid">
        <fgColor rgb="FFF7CAAC"/>
        <bgColor rgb="FFD0CECE"/>
      </patternFill>
    </fill>
    <fill>
      <patternFill patternType="solid">
        <fgColor rgb="FFD0CECE"/>
        <bgColor rgb="FFCCCCCC"/>
      </patternFill>
    </fill>
    <fill>
      <patternFill patternType="solid">
        <fgColor rgb="FFF2F2F2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rgb="FFFEF2CB"/>
        <bgColor rgb="FFF2F2F2"/>
      </patternFill>
    </fill>
    <fill>
      <patternFill patternType="solid">
        <fgColor rgb="FFB4C6E7"/>
        <bgColor rgb="FFCCCCCC"/>
      </patternFill>
    </fill>
    <fill>
      <patternFill patternType="solid">
        <fgColor rgb="FFC5E0B3"/>
        <bgColor rgb="FFD8D8D8"/>
      </patternFill>
    </fill>
    <fill>
      <patternFill patternType="solid">
        <fgColor rgb="FF00FF00"/>
        <bgColor rgb="FF39F517"/>
      </patternFill>
    </fill>
    <fill>
      <patternFill patternType="solid">
        <fgColor rgb="FFFFD666"/>
        <bgColor rgb="FFE3DA5B"/>
      </patternFill>
    </fill>
    <fill>
      <patternFill patternType="solid">
        <fgColor rgb="FF8EE839"/>
        <bgColor rgb="FF72EC2E"/>
      </patternFill>
    </fill>
    <fill>
      <patternFill patternType="solid">
        <fgColor rgb="FFE3DA5B"/>
        <bgColor rgb="FFFFD666"/>
      </patternFill>
    </fill>
    <fill>
      <patternFill patternType="solid">
        <fgColor rgb="FF72EC2E"/>
        <bgColor rgb="FF8EE839"/>
      </patternFill>
    </fill>
    <fill>
      <patternFill patternType="solid">
        <fgColor rgb="FFAAE344"/>
        <bgColor rgb="FF8EE839"/>
      </patternFill>
    </fill>
    <fill>
      <patternFill patternType="solid">
        <fgColor rgb="FF39F517"/>
        <bgColor rgb="FF72EC2E"/>
      </patternFill>
    </fill>
    <fill>
      <patternFill patternType="solid">
        <fgColor rgb="FFC7DF50"/>
        <bgColor rgb="FFE3DA5B"/>
      </patternFill>
    </fill>
  </fills>
  <borders count="66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ck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ck"/>
      <right style="medium">
        <color rgb="FFCCCCCC"/>
      </right>
      <top style="medium">
        <color rgb="FFCCCCCC"/>
      </top>
      <bottom style="thick"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thick"/>
      <diagonal/>
    </border>
    <border diagonalUp="false" diagonalDown="false">
      <left style="medium">
        <color rgb="FFCCCCCC"/>
      </left>
      <right style="thick"/>
      <top style="medium">
        <color rgb="FFCCCCCC"/>
      </top>
      <bottom style="thick"/>
      <diagonal/>
    </border>
    <border diagonalUp="false" diagonalDown="false">
      <left style="thick"/>
      <right style="thick"/>
      <top style="medium">
        <color rgb="FFCCCCCC"/>
      </top>
      <bottom style="thick"/>
      <diagonal/>
    </border>
    <border diagonalUp="false" diagonalDown="false">
      <left style="thick"/>
      <right style="medium"/>
      <top style="thick"/>
      <bottom style="thick"/>
      <diagonal/>
    </border>
    <border diagonalUp="false" diagonalDown="false">
      <left style="medium"/>
      <right style="medium"/>
      <top style="thick"/>
      <bottom style="thick"/>
      <diagonal/>
    </border>
    <border diagonalUp="false" diagonalDown="false">
      <left style="medium">
        <color rgb="FFCCCCCC"/>
      </left>
      <right style="thick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thick"/>
      <diagonal/>
    </border>
    <border diagonalUp="false" diagonalDown="false">
      <left style="thick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ck"/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6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7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3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3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3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4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3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4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4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3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3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3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1" borderId="4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2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4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6" borderId="3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13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14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4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5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16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17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11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18" borderId="4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5" borderId="4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5" borderId="3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4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4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4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" borderId="4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8" borderId="3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8" borderId="3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9" borderId="4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9" borderId="3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9" borderId="3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10" borderId="4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10" borderId="3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10" borderId="4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6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6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8" borderId="6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0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Calibri"/>
        <charset val="1"/>
        <family val="0"/>
        <color rgb="FF000000"/>
        <sz val="11"/>
      </font>
      <fill>
        <patternFill>
          <bgColor rgb="FF00FF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99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00FF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99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00FF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0"/>
        <color rgb="FF000000"/>
        <sz val="11"/>
      </font>
      <fill>
        <patternFill>
          <bgColor rgb="FFFF99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39F517"/>
      <rgbColor rgb="FF800000"/>
      <rgbColor rgb="FF008000"/>
      <rgbColor rgb="FF000080"/>
      <rgbColor rgb="FF548135"/>
      <rgbColor rgb="FF800080"/>
      <rgbColor rgb="FF008080"/>
      <rgbColor rgb="FFB7B7B7"/>
      <rgbColor rgb="FF757575"/>
      <rgbColor rgb="FF5B9BD5"/>
      <rgbColor rgb="FF993366"/>
      <rgbColor rgb="FFFEF2CB"/>
      <rgbColor rgb="FFF2F2F2"/>
      <rgbColor rgb="FF660066"/>
      <rgbColor rgb="FFC7DF50"/>
      <rgbColor rgb="FF0066CC"/>
      <rgbColor rgb="FFB4C6E7"/>
      <rgbColor rgb="FF000080"/>
      <rgbColor rgb="FFFF00FF"/>
      <rgbColor rgb="FFE3DA5B"/>
      <rgbColor rgb="FF00FFFF"/>
      <rgbColor rgb="FF800080"/>
      <rgbColor rgb="FF800000"/>
      <rgbColor rgb="FF008080"/>
      <rgbColor rgb="FF0000FF"/>
      <rgbColor rgb="FF00CCFF"/>
      <rgbColor rgb="FFD9D9D9"/>
      <rgbColor rgb="FFC5E0B3"/>
      <rgbColor rgb="FFFFD666"/>
      <rgbColor rgb="FFCCCCCC"/>
      <rgbColor rgb="FFD8D8D8"/>
      <rgbColor rgb="FFD0CECE"/>
      <rgbColor rgb="FFF7CAAC"/>
      <rgbColor rgb="FF3366FF"/>
      <rgbColor rgb="FF72EC2E"/>
      <rgbColor rgb="FF8EE839"/>
      <rgbColor rgb="FFFFC000"/>
      <rgbColor rgb="FFFF9900"/>
      <rgbColor rgb="FFFF6600"/>
      <rgbColor rgb="FFAAE344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Sprint1'!$D$12:$P$12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</c:v>
                </c:pt>
                <c:pt idx="4">
                  <c:v>1.4</c:v>
                </c:pt>
                <c:pt idx="5">
                  <c:v>1.7</c:v>
                </c:pt>
                <c:pt idx="6">
                  <c:v>0.3</c:v>
                </c:pt>
                <c:pt idx="7">
                  <c:v>1.8</c:v>
                </c:pt>
                <c:pt idx="8">
                  <c:v>2.6</c:v>
                </c:pt>
                <c:pt idx="9">
                  <c:v>0.7</c:v>
                </c:pt>
                <c:pt idx="10">
                  <c:v>0.5</c:v>
                </c:pt>
                <c:pt idx="11">
                  <c:v>0.3</c:v>
                </c:pt>
                <c:pt idx="12">
                  <c:v>0</c:v>
                </c:pt>
              </c:numCache>
            </c:numRef>
          </c:val>
        </c:ser>
        <c:gapWidth val="150"/>
        <c:overlap val="100"/>
        <c:axId val="81805202"/>
        <c:axId val="78483960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Sprint1'!$D$13:$P$13</c:f>
              <c:numCache>
                <c:formatCode>General</c:formatCode>
                <c:ptCount val="13"/>
                <c:pt idx="0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12.8</c:v>
                </c:pt>
                <c:pt idx="4">
                  <c:v>11.4</c:v>
                </c:pt>
                <c:pt idx="5">
                  <c:v>9.7</c:v>
                </c:pt>
                <c:pt idx="6">
                  <c:v>9.4</c:v>
                </c:pt>
                <c:pt idx="7">
                  <c:v>7.6</c:v>
                </c:pt>
                <c:pt idx="8">
                  <c:v>5</c:v>
                </c:pt>
                <c:pt idx="9">
                  <c:v>4.3</c:v>
                </c:pt>
                <c:pt idx="10">
                  <c:v>3.8</c:v>
                </c:pt>
                <c:pt idx="11">
                  <c:v>3.5</c:v>
                </c:pt>
                <c:pt idx="12">
                  <c:v>3.5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Sprint1'!$D$5:$P$5</c:f>
              <c:strCache>
                <c:ptCount val="13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</c:strCache>
            </c:strRef>
          </c:cat>
          <c:val>
            <c:numRef>
              <c:f>'Burndown Chart Sprint1'!$D$14:$P$14</c:f>
              <c:numCache>
                <c:formatCode>General</c:formatCode>
                <c:ptCount val="13"/>
                <c:pt idx="0">
                  <c:v>14</c:v>
                </c:pt>
                <c:pt idx="1">
                  <c:v>12.8333333333333</c:v>
                </c:pt>
                <c:pt idx="2">
                  <c:v>11.6666666666667</c:v>
                </c:pt>
                <c:pt idx="3">
                  <c:v>10.5</c:v>
                </c:pt>
                <c:pt idx="4">
                  <c:v>9.33333333333333</c:v>
                </c:pt>
                <c:pt idx="5">
                  <c:v>8.16666666666667</c:v>
                </c:pt>
                <c:pt idx="6">
                  <c:v>7</c:v>
                </c:pt>
                <c:pt idx="7">
                  <c:v>5.83333333333333</c:v>
                </c:pt>
                <c:pt idx="8">
                  <c:v>4.66666666666667</c:v>
                </c:pt>
                <c:pt idx="9">
                  <c:v>3.5</c:v>
                </c:pt>
                <c:pt idx="10">
                  <c:v>2.33333333333333</c:v>
                </c:pt>
                <c:pt idx="11">
                  <c:v>1.16666666666667</c:v>
                </c:pt>
                <c:pt idx="12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805202"/>
        <c:axId val="78483960"/>
      </c:lineChart>
      <c:catAx>
        <c:axId val="818052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483960"/>
        <c:crosses val="autoZero"/>
        <c:auto val="1"/>
        <c:lblAlgn val="ctr"/>
        <c:lblOffset val="100"/>
        <c:noMultiLvlLbl val="0"/>
      </c:catAx>
      <c:valAx>
        <c:axId val="78483960"/>
        <c:scaling>
          <c:orientation val="minMax"/>
          <c:max val="1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18052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Sprint2'!$D$15:$K$15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0.4</c:v>
                </c:pt>
                <c:pt idx="3">
                  <c:v>0.7</c:v>
                </c:pt>
                <c:pt idx="4">
                  <c:v>1.1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</c:numCache>
            </c:numRef>
          </c:val>
        </c:ser>
        <c:gapWidth val="150"/>
        <c:overlap val="100"/>
        <c:axId val="93984159"/>
        <c:axId val="77179259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Sprint2'!$D$16:$K$16</c:f>
              <c:numCache>
                <c:formatCode>General</c:formatCode>
                <c:ptCount val="8"/>
                <c:pt idx="0">
                  <c:v>6.5</c:v>
                </c:pt>
                <c:pt idx="1">
                  <c:v>5.5</c:v>
                </c:pt>
                <c:pt idx="2">
                  <c:v>5.1</c:v>
                </c:pt>
                <c:pt idx="3">
                  <c:v>4.4</c:v>
                </c:pt>
                <c:pt idx="4">
                  <c:v>3.3</c:v>
                </c:pt>
                <c:pt idx="5">
                  <c:v>2.7</c:v>
                </c:pt>
                <c:pt idx="6">
                  <c:v>2.2</c:v>
                </c:pt>
                <c:pt idx="7">
                  <c:v>1.7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Sprint2'!$D$5:$K$5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Sprint2'!$D$17:$K$17</c:f>
              <c:numCache>
                <c:formatCode>General</c:formatCode>
                <c:ptCount val="8"/>
                <c:pt idx="0">
                  <c:v>6.5</c:v>
                </c:pt>
                <c:pt idx="1">
                  <c:v>5.57142857142857</c:v>
                </c:pt>
                <c:pt idx="2">
                  <c:v>4.64285714285714</c:v>
                </c:pt>
                <c:pt idx="3">
                  <c:v>3.71428571428571</c:v>
                </c:pt>
                <c:pt idx="4">
                  <c:v>2.78571428571429</c:v>
                </c:pt>
                <c:pt idx="5">
                  <c:v>1.85714285714286</c:v>
                </c:pt>
                <c:pt idx="6">
                  <c:v>0.928571428571429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984159"/>
        <c:axId val="77179259"/>
      </c:lineChart>
      <c:catAx>
        <c:axId val="939841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7179259"/>
        <c:crosses val="autoZero"/>
        <c:auto val="1"/>
        <c:lblAlgn val="ctr"/>
        <c:lblOffset val="100"/>
        <c:noMultiLvlLbl val="0"/>
      </c:catAx>
      <c:valAx>
        <c:axId val="77179259"/>
        <c:scaling>
          <c:orientation val="minMax"/>
          <c:max val="1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39841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Sprint3'!$D$38:$K$38</c:f>
              <c:numCache>
                <c:formatCode>General</c:formatCode>
                <c:ptCount val="8"/>
                <c:pt idx="0">
                  <c:v>0</c:v>
                </c:pt>
                <c:pt idx="1">
                  <c:v>0.6</c:v>
                </c:pt>
                <c:pt idx="2">
                  <c:v>1.35</c:v>
                </c:pt>
                <c:pt idx="3">
                  <c:v>0.35</c:v>
                </c:pt>
                <c:pt idx="4">
                  <c:v>0.7</c:v>
                </c:pt>
                <c:pt idx="5">
                  <c:v>1.05</c:v>
                </c:pt>
                <c:pt idx="6">
                  <c:v>2.8</c:v>
                </c:pt>
                <c:pt idx="7">
                  <c:v>2.4</c:v>
                </c:pt>
              </c:numCache>
            </c:numRef>
          </c:val>
        </c:ser>
        <c:gapWidth val="150"/>
        <c:overlap val="100"/>
        <c:axId val="17263203"/>
        <c:axId val="9709371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Sprint3'!$D$39:$K$39</c:f>
              <c:numCache>
                <c:formatCode>General</c:formatCode>
                <c:ptCount val="8"/>
                <c:pt idx="0">
                  <c:v>15.6</c:v>
                </c:pt>
                <c:pt idx="1">
                  <c:v>15</c:v>
                </c:pt>
                <c:pt idx="2">
                  <c:v>13.65</c:v>
                </c:pt>
                <c:pt idx="3">
                  <c:v>13.3</c:v>
                </c:pt>
                <c:pt idx="4">
                  <c:v>12.6</c:v>
                </c:pt>
                <c:pt idx="5">
                  <c:v>11.55</c:v>
                </c:pt>
                <c:pt idx="6">
                  <c:v>8.75</c:v>
                </c:pt>
                <c:pt idx="7">
                  <c:v>6.35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Sprint3'!$D$5:$K$5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Sprint3'!$D$40:$K$40</c:f>
              <c:numCache>
                <c:formatCode>General</c:formatCode>
                <c:ptCount val="8"/>
                <c:pt idx="0">
                  <c:v>15.6</c:v>
                </c:pt>
                <c:pt idx="1">
                  <c:v>13.3714285714286</c:v>
                </c:pt>
                <c:pt idx="2">
                  <c:v>11.1428571428571</c:v>
                </c:pt>
                <c:pt idx="3">
                  <c:v>8.91428571428572</c:v>
                </c:pt>
                <c:pt idx="4">
                  <c:v>6.68571428571429</c:v>
                </c:pt>
                <c:pt idx="5">
                  <c:v>4.45714285714286</c:v>
                </c:pt>
                <c:pt idx="6">
                  <c:v>2.22857142857143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263203"/>
        <c:axId val="9709371"/>
      </c:lineChart>
      <c:catAx>
        <c:axId val="172632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709371"/>
        <c:crosses val="autoZero"/>
        <c:auto val="1"/>
        <c:lblAlgn val="ctr"/>
        <c:lblOffset val="100"/>
        <c:noMultiLvlLbl val="0"/>
      </c:catAx>
      <c:valAx>
        <c:axId val="9709371"/>
        <c:scaling>
          <c:orientation val="minMax"/>
          <c:max val="16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7263203"/>
        <c:crosses val="autoZero"/>
        <c:crossBetween val="between"/>
        <c:majorUnit val="4"/>
        <c:minorUnit val="1.33333333333333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PT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'[1]Burndown Chart Sprint4'!$D$5:$K$5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'[1]Burndown Chart Sprint4'!$D$51:$K$51</c:f>
              <c:numCache>
                <c:formatCode>General</c:formatCode>
                <c:ptCount val="8"/>
              </c:numCache>
            </c:numRef>
          </c:val>
        </c:ser>
        <c:gapWidth val="150"/>
        <c:overlap val="100"/>
        <c:axId val="84076830"/>
        <c:axId val="38060692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'[1]Burndown Chart Sprint4'!$D$5:$K$5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'[1]Burndown Chart Sprint4'!$D$52:$K$52</c:f>
              <c:numCache>
                <c:formatCode>General</c:formatCode>
                <c:ptCount val="8"/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'[1]Burndown Chart Sprint4'!$D$5:$K$5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'[1]Burndown Chart Sprint4'!$D$53:$K$53</c:f>
              <c:numCache>
                <c:formatCode>General</c:formatCode>
                <c:ptCount val="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076830"/>
        <c:axId val="38060692"/>
      </c:lineChart>
      <c:catAx>
        <c:axId val="840768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8060692"/>
        <c:crosses val="autoZero"/>
        <c:auto val="1"/>
        <c:lblAlgn val="ctr"/>
        <c:lblOffset val="100"/>
        <c:noMultiLvlLbl val="0"/>
      </c:catAx>
      <c:valAx>
        <c:axId val="38060692"/>
        <c:scaling>
          <c:orientation val="minMax"/>
          <c:max val="16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pt-PT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4076830"/>
        <c:crosses val="autoZero"/>
        <c:crossBetween val="between"/>
        <c:majorUnit val="4"/>
        <c:minorUnit val="1.33333333333333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Sprint5'!$D$14:$K$14</c:f>
              <c:numCache>
                <c:formatCode>General</c:formatCode>
                <c:ptCount val="8"/>
                <c:pt idx="0">
                  <c:v>0</c:v>
                </c:pt>
                <c:pt idx="1">
                  <c:v>3.5</c:v>
                </c:pt>
                <c:pt idx="2">
                  <c:v>1.6</c:v>
                </c:pt>
                <c:pt idx="3">
                  <c:v>3.1</c:v>
                </c:pt>
                <c:pt idx="4">
                  <c:v>2</c:v>
                </c:pt>
                <c:pt idx="5">
                  <c:v>1.6</c:v>
                </c:pt>
                <c:pt idx="6">
                  <c:v>3.2</c:v>
                </c:pt>
                <c:pt idx="7">
                  <c:v>0.6</c:v>
                </c:pt>
              </c:numCache>
            </c:numRef>
          </c:val>
        </c:ser>
        <c:gapWidth val="150"/>
        <c:overlap val="100"/>
        <c:axId val="49211707"/>
        <c:axId val="13972706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Sprint5'!$D$15:$K$15</c:f>
              <c:numCache>
                <c:formatCode>General</c:formatCode>
                <c:ptCount val="8"/>
                <c:pt idx="0">
                  <c:v>15.6</c:v>
                </c:pt>
                <c:pt idx="1">
                  <c:v>12.1</c:v>
                </c:pt>
                <c:pt idx="2">
                  <c:v>10.5</c:v>
                </c:pt>
                <c:pt idx="3">
                  <c:v>7.4</c:v>
                </c:pt>
                <c:pt idx="4">
                  <c:v>5.4</c:v>
                </c:pt>
                <c:pt idx="5">
                  <c:v>3.8</c:v>
                </c:pt>
                <c:pt idx="6">
                  <c:v>0.600000000000001</c:v>
                </c:pt>
                <c:pt idx="7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Sprint5'!$D$5:$K$5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Sprint5'!$D$16:$K$16</c:f>
              <c:numCache>
                <c:formatCode>General</c:formatCode>
                <c:ptCount val="8"/>
                <c:pt idx="0">
                  <c:v>15.6</c:v>
                </c:pt>
                <c:pt idx="1">
                  <c:v>13.3714285714286</c:v>
                </c:pt>
                <c:pt idx="2">
                  <c:v>11.1428571428571</c:v>
                </c:pt>
                <c:pt idx="3">
                  <c:v>8.91428571428572</c:v>
                </c:pt>
                <c:pt idx="4">
                  <c:v>6.68571428571429</c:v>
                </c:pt>
                <c:pt idx="5">
                  <c:v>4.45714285714286</c:v>
                </c:pt>
                <c:pt idx="6">
                  <c:v>2.22857142857143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211707"/>
        <c:axId val="13972706"/>
      </c:lineChart>
      <c:catAx>
        <c:axId val="492117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3972706"/>
        <c:crosses val="autoZero"/>
        <c:auto val="1"/>
        <c:lblAlgn val="ctr"/>
        <c:lblOffset val="100"/>
        <c:noMultiLvlLbl val="0"/>
      </c:catAx>
      <c:valAx>
        <c:axId val="13972706"/>
        <c:scaling>
          <c:orientation val="minMax"/>
          <c:max val="16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9211707"/>
        <c:crosses val="autoZero"/>
        <c:crossBetween val="between"/>
        <c:majorUnit val="4"/>
        <c:minorUnit val="1.33333333333333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Sprint6'!$D$5:$K$5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Sprint6'!$D$24:$K$24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3.25</c:v>
                </c:pt>
                <c:pt idx="3">
                  <c:v>4.75</c:v>
                </c:pt>
                <c:pt idx="4">
                  <c:v>3.5</c:v>
                </c:pt>
                <c:pt idx="5">
                  <c:v>2</c:v>
                </c:pt>
                <c:pt idx="6">
                  <c:v>4.75</c:v>
                </c:pt>
                <c:pt idx="7">
                  <c:v>4.75</c:v>
                </c:pt>
              </c:numCache>
            </c:numRef>
          </c:val>
        </c:ser>
        <c:gapWidth val="150"/>
        <c:overlap val="100"/>
        <c:axId val="5163635"/>
        <c:axId val="28625254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Sprint6'!$D$5:$K$5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Sprint6'!$D$25:$K$25</c:f>
              <c:numCache>
                <c:formatCode>General</c:formatCode>
                <c:ptCount val="8"/>
                <c:pt idx="0">
                  <c:v>26</c:v>
                </c:pt>
                <c:pt idx="1">
                  <c:v>23</c:v>
                </c:pt>
                <c:pt idx="2">
                  <c:v>19.75</c:v>
                </c:pt>
                <c:pt idx="3">
                  <c:v>15</c:v>
                </c:pt>
                <c:pt idx="4">
                  <c:v>11.5</c:v>
                </c:pt>
                <c:pt idx="5">
                  <c:v>9.5</c:v>
                </c:pt>
                <c:pt idx="6">
                  <c:v>4.75</c:v>
                </c:pt>
                <c:pt idx="7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Sprint6'!$D$5:$K$5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 Sprint6'!$D$26:$K$26</c:f>
              <c:numCache>
                <c:formatCode>General</c:formatCode>
                <c:ptCount val="8"/>
                <c:pt idx="0">
                  <c:v>26</c:v>
                </c:pt>
                <c:pt idx="1">
                  <c:v>22.2857142857143</c:v>
                </c:pt>
                <c:pt idx="2">
                  <c:v>18.5714285714286</c:v>
                </c:pt>
                <c:pt idx="3">
                  <c:v>14.8571428571429</c:v>
                </c:pt>
                <c:pt idx="4">
                  <c:v>11.1428571428571</c:v>
                </c:pt>
                <c:pt idx="5">
                  <c:v>7.42857142857143</c:v>
                </c:pt>
                <c:pt idx="6">
                  <c:v>3.71428571428572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63635"/>
        <c:axId val="28625254"/>
      </c:lineChart>
      <c:catAx>
        <c:axId val="51636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8625254"/>
        <c:crosses val="autoZero"/>
        <c:auto val="1"/>
        <c:lblAlgn val="ctr"/>
        <c:lblOffset val="100"/>
        <c:noMultiLvlLbl val="0"/>
      </c:catAx>
      <c:valAx>
        <c:axId val="28625254"/>
        <c:scaling>
          <c:orientation val="minMax"/>
          <c:max val="31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163635"/>
        <c:crosses val="autoZero"/>
        <c:crossBetween val="between"/>
        <c:majorUnit val="4"/>
        <c:minorUnit val="1.33333333333333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en-US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Sprint7'!$D$5:$O$5</c:f>
              <c:strCache>
                <c:ptCount val="12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</c:strCache>
            </c:strRef>
          </c:cat>
          <c:val>
            <c:numRef>
              <c:f>'Burndown Chart Sprint7'!$D$44:$O$44</c:f>
              <c:numCache>
                <c:formatCode>General</c:formatCode>
                <c:ptCount val="12"/>
                <c:pt idx="0">
                  <c:v>0</c:v>
                </c:pt>
                <c:pt idx="1">
                  <c:v>2.2</c:v>
                </c:pt>
                <c:pt idx="2">
                  <c:v>4.8</c:v>
                </c:pt>
                <c:pt idx="3">
                  <c:v>5.8</c:v>
                </c:pt>
                <c:pt idx="4">
                  <c:v>5.4</c:v>
                </c:pt>
                <c:pt idx="5">
                  <c:v>4.7</c:v>
                </c:pt>
                <c:pt idx="6">
                  <c:v>4.6</c:v>
                </c:pt>
                <c:pt idx="7">
                  <c:v>4.5</c:v>
                </c:pt>
                <c:pt idx="8">
                  <c:v>7.5</c:v>
                </c:pt>
                <c:pt idx="9">
                  <c:v>7.9</c:v>
                </c:pt>
                <c:pt idx="10">
                  <c:v>9.7</c:v>
                </c:pt>
                <c:pt idx="11">
                  <c:v>5.4</c:v>
                </c:pt>
              </c:numCache>
            </c:numRef>
          </c:val>
        </c:ser>
        <c:gapWidth val="150"/>
        <c:overlap val="100"/>
        <c:axId val="422696"/>
        <c:axId val="7793630"/>
      </c:barChart>
      <c:lineChart>
        <c:grouping val="stacked"/>
        <c:varyColors val="0"/>
        <c:ser>
          <c:idx val="1"/>
          <c:order val="1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Sprint7'!$D$5:$O$5</c:f>
              <c:strCache>
                <c:ptCount val="12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</c:strCache>
            </c:strRef>
          </c:cat>
          <c:val>
            <c:numRef>
              <c:f>'Burndown Chart Sprint7'!$D$45:$O$45</c:f>
              <c:numCache>
                <c:formatCode>General</c:formatCode>
                <c:ptCount val="12"/>
                <c:pt idx="0">
                  <c:v>729</c:v>
                </c:pt>
                <c:pt idx="1">
                  <c:v>726.8</c:v>
                </c:pt>
                <c:pt idx="2">
                  <c:v>722</c:v>
                </c:pt>
                <c:pt idx="3">
                  <c:v>716.2</c:v>
                </c:pt>
                <c:pt idx="4">
                  <c:v>710.8</c:v>
                </c:pt>
                <c:pt idx="5">
                  <c:v>706.1</c:v>
                </c:pt>
                <c:pt idx="6">
                  <c:v>701.5</c:v>
                </c:pt>
                <c:pt idx="7">
                  <c:v>697</c:v>
                </c:pt>
                <c:pt idx="8">
                  <c:v>689.5</c:v>
                </c:pt>
                <c:pt idx="9">
                  <c:v>681.6</c:v>
                </c:pt>
                <c:pt idx="10">
                  <c:v>671.9</c:v>
                </c:pt>
                <c:pt idx="11">
                  <c:v>666.5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'Burndown Chart Sprint7'!$D$5:$O$5</c:f>
              <c:strCache>
                <c:ptCount val="12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</c:strCache>
            </c:strRef>
          </c:cat>
          <c:val>
            <c:numRef>
              <c:f>'Burndown Chart Sprint7'!$D$46:$O$46</c:f>
              <c:numCache>
                <c:formatCode>General</c:formatCode>
                <c:ptCount val="12"/>
                <c:pt idx="0">
                  <c:v>729</c:v>
                </c:pt>
                <c:pt idx="1">
                  <c:v>662.727272727273</c:v>
                </c:pt>
                <c:pt idx="2">
                  <c:v>596.454545454546</c:v>
                </c:pt>
                <c:pt idx="3">
                  <c:v>530.181818181818</c:v>
                </c:pt>
                <c:pt idx="4">
                  <c:v>463.909090909091</c:v>
                </c:pt>
                <c:pt idx="5">
                  <c:v>397.636363636364</c:v>
                </c:pt>
                <c:pt idx="6">
                  <c:v>331.363636363636</c:v>
                </c:pt>
                <c:pt idx="7">
                  <c:v>265.090909090909</c:v>
                </c:pt>
                <c:pt idx="8">
                  <c:v>198.818181818182</c:v>
                </c:pt>
                <c:pt idx="9">
                  <c:v>132.545454545455</c:v>
                </c:pt>
                <c:pt idx="10">
                  <c:v>66.2727272727274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2696"/>
        <c:axId val="7793630"/>
      </c:lineChart>
      <c:catAx>
        <c:axId val="422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793630"/>
        <c:crosses val="autoZero"/>
        <c:auto val="1"/>
        <c:lblAlgn val="ctr"/>
        <c:lblOffset val="100"/>
        <c:noMultiLvlLbl val="0"/>
      </c:catAx>
      <c:valAx>
        <c:axId val="7793630"/>
        <c:scaling>
          <c:orientation val="minMax"/>
          <c:max val="70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22696"/>
        <c:crosses val="autoZero"/>
        <c:crossBetween val="between"/>
        <c:majorUnit val="4"/>
        <c:minorUnit val="1.33333333333333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2133720</xdr:colOff>
      <xdr:row>14</xdr:row>
      <xdr:rowOff>38160</xdr:rowOff>
    </xdr:from>
    <xdr:to>
      <xdr:col>9</xdr:col>
      <xdr:colOff>661320</xdr:colOff>
      <xdr:row>41</xdr:row>
      <xdr:rowOff>36000</xdr:rowOff>
    </xdr:to>
    <xdr:graphicFrame>
      <xdr:nvGraphicFramePr>
        <xdr:cNvPr id="0" name="Chart 1"/>
        <xdr:cNvGraphicFramePr/>
      </xdr:nvGraphicFramePr>
      <xdr:xfrm>
        <a:off x="3403800" y="2685960"/>
        <a:ext cx="963828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457200</xdr:colOff>
      <xdr:row>18</xdr:row>
      <xdr:rowOff>171360</xdr:rowOff>
    </xdr:from>
    <xdr:to>
      <xdr:col>7</xdr:col>
      <xdr:colOff>13680</xdr:colOff>
      <xdr:row>45</xdr:row>
      <xdr:rowOff>169560</xdr:rowOff>
    </xdr:to>
    <xdr:graphicFrame>
      <xdr:nvGraphicFramePr>
        <xdr:cNvPr id="1" name="Chart 2"/>
        <xdr:cNvGraphicFramePr/>
      </xdr:nvGraphicFramePr>
      <xdr:xfrm>
        <a:off x="1155240" y="3543120"/>
        <a:ext cx="963900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219240</xdr:colOff>
      <xdr:row>41</xdr:row>
      <xdr:rowOff>171360</xdr:rowOff>
    </xdr:from>
    <xdr:to>
      <xdr:col>7</xdr:col>
      <xdr:colOff>347040</xdr:colOff>
      <xdr:row>68</xdr:row>
      <xdr:rowOff>169560</xdr:rowOff>
    </xdr:to>
    <xdr:graphicFrame>
      <xdr:nvGraphicFramePr>
        <xdr:cNvPr id="2" name="Chart 3"/>
        <xdr:cNvGraphicFramePr/>
      </xdr:nvGraphicFramePr>
      <xdr:xfrm>
        <a:off x="1489320" y="7705800"/>
        <a:ext cx="963828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2576880</xdr:colOff>
      <xdr:row>54</xdr:row>
      <xdr:rowOff>138600</xdr:rowOff>
    </xdr:from>
    <xdr:to>
      <xdr:col>10</xdr:col>
      <xdr:colOff>304200</xdr:colOff>
      <xdr:row>81</xdr:row>
      <xdr:rowOff>136800</xdr:rowOff>
    </xdr:to>
    <xdr:graphicFrame>
      <xdr:nvGraphicFramePr>
        <xdr:cNvPr id="3" name="Chart 3"/>
        <xdr:cNvGraphicFramePr/>
      </xdr:nvGraphicFramePr>
      <xdr:xfrm>
        <a:off x="3846960" y="10025640"/>
        <a:ext cx="963792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219240</xdr:colOff>
      <xdr:row>17</xdr:row>
      <xdr:rowOff>171360</xdr:rowOff>
    </xdr:from>
    <xdr:to>
      <xdr:col>7</xdr:col>
      <xdr:colOff>347040</xdr:colOff>
      <xdr:row>44</xdr:row>
      <xdr:rowOff>169560</xdr:rowOff>
    </xdr:to>
    <xdr:graphicFrame>
      <xdr:nvGraphicFramePr>
        <xdr:cNvPr id="4" name="Chart 3"/>
        <xdr:cNvGraphicFramePr/>
      </xdr:nvGraphicFramePr>
      <xdr:xfrm>
        <a:off x="1489320" y="3362400"/>
        <a:ext cx="963828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1687320</xdr:colOff>
      <xdr:row>26</xdr:row>
      <xdr:rowOff>172080</xdr:rowOff>
    </xdr:from>
    <xdr:to>
      <xdr:col>7</xdr:col>
      <xdr:colOff>889200</xdr:colOff>
      <xdr:row>52</xdr:row>
      <xdr:rowOff>103680</xdr:rowOff>
    </xdr:to>
    <xdr:graphicFrame>
      <xdr:nvGraphicFramePr>
        <xdr:cNvPr id="5" name="Chart 3"/>
        <xdr:cNvGraphicFramePr/>
      </xdr:nvGraphicFramePr>
      <xdr:xfrm>
        <a:off x="2969280" y="5576040"/>
        <a:ext cx="963756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219240</xdr:colOff>
      <xdr:row>47</xdr:row>
      <xdr:rowOff>171360</xdr:rowOff>
    </xdr:from>
    <xdr:to>
      <xdr:col>12</xdr:col>
      <xdr:colOff>583920</xdr:colOff>
      <xdr:row>74</xdr:row>
      <xdr:rowOff>169560</xdr:rowOff>
    </xdr:to>
    <xdr:graphicFrame>
      <xdr:nvGraphicFramePr>
        <xdr:cNvPr id="6" name="Chart 5"/>
        <xdr:cNvGraphicFramePr/>
      </xdr:nvGraphicFramePr>
      <xdr:xfrm>
        <a:off x="1489320" y="15381000"/>
        <a:ext cx="9638280" cy="488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Users/gabri/Desktop/fct-unl/INFORMATICA/5th_sem/courses/ES/project/SE2526_67775_67804_67286_68130_68547_67763/SE202526/Management/Sprint4/burndown/Sprint4_Burndow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rndown Chart Sprint1"/>
      <sheetName val="Burndown Chart Sprint2"/>
      <sheetName val="Burndown Chart Sprint3"/>
      <sheetName val="Burndown Chart Sprint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1000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selection pane="topLeft" activeCell="J14" activeCellId="0" sqref="J1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1" width="7.15"/>
    <col collapsed="false" customWidth="true" hidden="false" outlineLevel="0" max="3" min="3" style="1" width="73.14"/>
    <col collapsed="false" customWidth="true" hidden="false" outlineLevel="0" max="4" min="4" style="1" width="15.72"/>
    <col collapsed="false" customWidth="true" hidden="false" outlineLevel="0" max="14" min="5" style="1" width="10"/>
    <col collapsed="false" customWidth="true" hidden="false" outlineLevel="0" max="15" min="15" style="1" width="9.71"/>
    <col collapsed="false" customWidth="true" hidden="false" outlineLevel="0" max="16" min="16" style="1" width="9.57"/>
    <col collapsed="false" customWidth="true" hidden="false" outlineLevel="0" max="18" min="17" style="1" width="8.72"/>
  </cols>
  <sheetData>
    <row r="1" customFormat="false" ht="14.25" hidden="false" customHeight="true" outlineLevel="0" collapsed="false"/>
    <row r="2" customFormat="false" ht="23.2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3"/>
    </row>
    <row r="3" customFormat="false" ht="14.25" hidden="false" customHeight="true" outlineLevel="0" collapsed="false">
      <c r="B3" s="4"/>
      <c r="C3" s="5"/>
      <c r="D3" s="5"/>
      <c r="E3" s="6" t="s">
        <v>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customFormat="false" ht="14.25" hidden="false" customHeight="true" outlineLevel="0" collapsed="false">
      <c r="B4" s="8" t="s">
        <v>2</v>
      </c>
      <c r="C4" s="9" t="s">
        <v>3</v>
      </c>
      <c r="D4" s="10" t="s">
        <v>4</v>
      </c>
      <c r="E4" s="11" t="n">
        <v>45938</v>
      </c>
      <c r="F4" s="11" t="n">
        <v>45939</v>
      </c>
      <c r="G4" s="11" t="n">
        <v>45940</v>
      </c>
      <c r="H4" s="11" t="n">
        <v>45941</v>
      </c>
      <c r="I4" s="11" t="n">
        <v>45942</v>
      </c>
      <c r="J4" s="11" t="n">
        <v>45943</v>
      </c>
      <c r="K4" s="11" t="n">
        <v>45944</v>
      </c>
      <c r="L4" s="11" t="n">
        <v>45945</v>
      </c>
      <c r="M4" s="11" t="n">
        <v>45946</v>
      </c>
      <c r="N4" s="11" t="n">
        <v>45947</v>
      </c>
      <c r="O4" s="11" t="n">
        <v>45948</v>
      </c>
      <c r="P4" s="12" t="n">
        <v>45949</v>
      </c>
      <c r="Q4" s="7"/>
    </row>
    <row r="5" customFormat="false" ht="14.25" hidden="false" customHeight="true" outlineLevel="0" collapsed="false">
      <c r="B5" s="8"/>
      <c r="C5" s="9"/>
      <c r="D5" s="13" t="s">
        <v>5</v>
      </c>
      <c r="E5" s="14" t="s">
        <v>6</v>
      </c>
      <c r="F5" s="15" t="s">
        <v>7</v>
      </c>
      <c r="G5" s="15" t="s">
        <v>8</v>
      </c>
      <c r="H5" s="15" t="s">
        <v>9</v>
      </c>
      <c r="I5" s="16" t="s">
        <v>10</v>
      </c>
      <c r="J5" s="15" t="s">
        <v>11</v>
      </c>
      <c r="K5" s="16" t="s">
        <v>12</v>
      </c>
      <c r="L5" s="15" t="s">
        <v>13</v>
      </c>
      <c r="M5" s="16" t="s">
        <v>14</v>
      </c>
      <c r="N5" s="15" t="s">
        <v>15</v>
      </c>
      <c r="O5" s="16" t="s">
        <v>16</v>
      </c>
      <c r="P5" s="16" t="s">
        <v>17</v>
      </c>
      <c r="Q5" s="7"/>
    </row>
    <row r="6" customFormat="false" ht="14.25" hidden="false" customHeight="true" outlineLevel="0" collapsed="false">
      <c r="B6" s="17" t="n">
        <v>1</v>
      </c>
      <c r="C6" s="18" t="s">
        <v>18</v>
      </c>
      <c r="D6" s="19" t="n">
        <v>3</v>
      </c>
      <c r="E6" s="20"/>
      <c r="F6" s="21"/>
      <c r="G6" s="21"/>
      <c r="H6" s="21" t="n">
        <v>1</v>
      </c>
      <c r="I6" s="22"/>
      <c r="J6" s="21"/>
      <c r="K6" s="21"/>
      <c r="L6" s="21" t="n">
        <v>1</v>
      </c>
      <c r="M6" s="21"/>
      <c r="N6" s="21"/>
      <c r="O6" s="21"/>
      <c r="P6" s="23"/>
    </row>
    <row r="7" customFormat="false" ht="14.25" hidden="false" customHeight="true" outlineLevel="0" collapsed="false">
      <c r="B7" s="24" t="n">
        <v>4</v>
      </c>
      <c r="C7" s="18" t="s">
        <v>19</v>
      </c>
      <c r="D7" s="25" t="n">
        <v>6</v>
      </c>
      <c r="E7" s="26"/>
      <c r="F7" s="27" t="n">
        <v>1</v>
      </c>
      <c r="G7" s="27"/>
      <c r="H7" s="27"/>
      <c r="I7" s="28" t="n">
        <v>1.5</v>
      </c>
      <c r="J7" s="27" t="n">
        <v>0.2</v>
      </c>
      <c r="K7" s="27"/>
      <c r="L7" s="27" t="n">
        <v>0.4</v>
      </c>
      <c r="M7" s="27" t="n">
        <v>0.4</v>
      </c>
      <c r="N7" s="27"/>
      <c r="O7" s="27"/>
      <c r="P7" s="29"/>
    </row>
    <row r="8" customFormat="false" ht="14.25" hidden="false" customHeight="true" outlineLevel="0" collapsed="false">
      <c r="B8" s="24" t="n">
        <v>10</v>
      </c>
      <c r="C8" s="18" t="s">
        <v>20</v>
      </c>
      <c r="D8" s="25" t="n">
        <v>1</v>
      </c>
      <c r="E8" s="30"/>
      <c r="F8" s="27"/>
      <c r="G8" s="27" t="n">
        <v>0.2</v>
      </c>
      <c r="H8" s="27" t="n">
        <v>0.4</v>
      </c>
      <c r="I8" s="28" t="n">
        <v>0.2</v>
      </c>
      <c r="J8" s="27" t="n">
        <v>0.1</v>
      </c>
      <c r="K8" s="27" t="n">
        <v>0.1</v>
      </c>
      <c r="L8" s="27"/>
      <c r="M8" s="27"/>
      <c r="N8" s="27"/>
      <c r="O8" s="27"/>
      <c r="P8" s="29"/>
    </row>
    <row r="9" customFormat="false" ht="14.25" hidden="false" customHeight="true" outlineLevel="0" collapsed="false">
      <c r="B9" s="24" t="n">
        <v>11</v>
      </c>
      <c r="C9" s="18" t="s">
        <v>21</v>
      </c>
      <c r="D9" s="25" t="n">
        <v>1</v>
      </c>
      <c r="E9" s="30"/>
      <c r="F9" s="27"/>
      <c r="G9" s="27"/>
      <c r="H9" s="27"/>
      <c r="I9" s="28"/>
      <c r="J9" s="27"/>
      <c r="K9" s="27" t="n">
        <v>0.5</v>
      </c>
      <c r="L9" s="27" t="n">
        <v>0.5</v>
      </c>
      <c r="M9" s="27"/>
      <c r="N9" s="27"/>
      <c r="O9" s="27"/>
      <c r="P9" s="29"/>
    </row>
    <row r="10" customFormat="false" ht="14.25" hidden="false" customHeight="true" outlineLevel="0" collapsed="false">
      <c r="B10" s="24" t="n">
        <v>12</v>
      </c>
      <c r="C10" s="18" t="s">
        <v>22</v>
      </c>
      <c r="D10" s="25" t="n">
        <v>1</v>
      </c>
      <c r="E10" s="30"/>
      <c r="F10" s="27"/>
      <c r="G10" s="27"/>
      <c r="H10" s="27"/>
      <c r="I10" s="28"/>
      <c r="J10" s="27"/>
      <c r="K10" s="27" t="n">
        <v>0.2</v>
      </c>
      <c r="L10" s="27"/>
      <c r="M10" s="27"/>
      <c r="N10" s="27" t="n">
        <v>0.5</v>
      </c>
      <c r="O10" s="27" t="n">
        <v>0.3</v>
      </c>
      <c r="P10" s="29"/>
    </row>
    <row r="11" customFormat="false" ht="14.25" hidden="false" customHeight="true" outlineLevel="0" collapsed="false">
      <c r="B11" s="24" t="n">
        <v>13</v>
      </c>
      <c r="C11" s="18" t="s">
        <v>23</v>
      </c>
      <c r="D11" s="25" t="n">
        <v>2</v>
      </c>
      <c r="E11" s="30"/>
      <c r="F11" s="27"/>
      <c r="G11" s="27"/>
      <c r="H11" s="27"/>
      <c r="I11" s="28"/>
      <c r="J11" s="27"/>
      <c r="K11" s="27" t="n">
        <v>1</v>
      </c>
      <c r="L11" s="27" t="n">
        <v>0.7</v>
      </c>
      <c r="M11" s="27" t="n">
        <v>0.3</v>
      </c>
      <c r="N11" s="27"/>
      <c r="O11" s="27"/>
      <c r="P11" s="29"/>
    </row>
    <row r="12" customFormat="false" ht="14.25" hidden="false" customHeight="true" outlineLevel="0" collapsed="false">
      <c r="B12" s="31" t="s">
        <v>24</v>
      </c>
      <c r="C12" s="31"/>
      <c r="D12" s="32" t="n">
        <v>0</v>
      </c>
      <c r="E12" s="33" t="n">
        <f aca="false">SUM(E6:E11)</f>
        <v>0</v>
      </c>
      <c r="F12" s="34" t="n">
        <f aca="false">SUM(F6:F11)</f>
        <v>1</v>
      </c>
      <c r="G12" s="34" t="n">
        <f aca="false">SUM(G6:G11)</f>
        <v>0.2</v>
      </c>
      <c r="H12" s="34" t="n">
        <f aca="false">SUM(H6:H11)</f>
        <v>1.4</v>
      </c>
      <c r="I12" s="35" t="n">
        <f aca="false">SUM(I6:I11)</f>
        <v>1.7</v>
      </c>
      <c r="J12" s="36" t="n">
        <f aca="false">SUM(J6:J11)</f>
        <v>0.3</v>
      </c>
      <c r="K12" s="34" t="n">
        <f aca="false">SUM(K6:K11)</f>
        <v>1.8</v>
      </c>
      <c r="L12" s="34" t="n">
        <f aca="false">SUM(L6:L11)</f>
        <v>2.6</v>
      </c>
      <c r="M12" s="34" t="n">
        <f aca="false">SUM(M6:M11)</f>
        <v>0.7</v>
      </c>
      <c r="N12" s="36" t="n">
        <f aca="false">SUM(N6:N11)</f>
        <v>0.5</v>
      </c>
      <c r="O12" s="34" t="n">
        <f aca="false">SUM(O6:O11)</f>
        <v>0.3</v>
      </c>
      <c r="P12" s="37" t="n">
        <f aca="false">SUM(P6:P11)</f>
        <v>0</v>
      </c>
    </row>
    <row r="13" customFormat="false" ht="14.25" hidden="false" customHeight="true" outlineLevel="0" collapsed="false">
      <c r="B13" s="38" t="s">
        <v>25</v>
      </c>
      <c r="C13" s="38"/>
      <c r="D13" s="39" t="n">
        <f aca="false">SUM(D6:D12)</f>
        <v>14</v>
      </c>
      <c r="E13" s="40" t="n">
        <f aca="false">D13-SUM(E6:E11)</f>
        <v>14</v>
      </c>
      <c r="F13" s="41" t="n">
        <f aca="false">E13-SUM(F6:F11)</f>
        <v>13</v>
      </c>
      <c r="G13" s="41" t="n">
        <f aca="false">F13-SUM(G6:G11)</f>
        <v>12.8</v>
      </c>
      <c r="H13" s="41" t="n">
        <f aca="false">G13-SUM(H6:H11)</f>
        <v>11.4</v>
      </c>
      <c r="I13" s="42" t="n">
        <f aca="false">H13-SUM(I6:I11)</f>
        <v>9.7</v>
      </c>
      <c r="J13" s="43" t="n">
        <f aca="false">I13-SUM(J6:J11)</f>
        <v>9.4</v>
      </c>
      <c r="K13" s="43" t="n">
        <f aca="false">J13-SUM(K6:K11)</f>
        <v>7.6</v>
      </c>
      <c r="L13" s="43" t="n">
        <f aca="false">K13-SUM(L6:L11)</f>
        <v>5</v>
      </c>
      <c r="M13" s="43" t="n">
        <f aca="false">L13-SUM(M6:M11)</f>
        <v>4.3</v>
      </c>
      <c r="N13" s="41" t="n">
        <f aca="false">M13-SUM(N6:N11)</f>
        <v>3.8</v>
      </c>
      <c r="O13" s="44" t="n">
        <f aca="false">N13-SUM(O6:O11)</f>
        <v>3.5</v>
      </c>
      <c r="P13" s="45" t="n">
        <f aca="false">O13-SUM(P6:P11)</f>
        <v>3.5</v>
      </c>
    </row>
    <row r="14" customFormat="false" ht="14.25" hidden="false" customHeight="true" outlineLevel="0" collapsed="false">
      <c r="B14" s="46" t="s">
        <v>26</v>
      </c>
      <c r="C14" s="46"/>
      <c r="D14" s="47" t="n">
        <f aca="false">D13</f>
        <v>14</v>
      </c>
      <c r="E14" s="48" t="n">
        <f aca="false">$D$14-($D$14/12*1)</f>
        <v>12.8333333333333</v>
      </c>
      <c r="F14" s="48" t="n">
        <f aca="false">$D$14-($D$14/12*2)</f>
        <v>11.6666666666667</v>
      </c>
      <c r="G14" s="48" t="n">
        <f aca="false">$D$14-($D$14/12*3)</f>
        <v>10.5</v>
      </c>
      <c r="H14" s="48" t="n">
        <f aca="false">$D$14-($D$14/12*4)</f>
        <v>9.33333333333333</v>
      </c>
      <c r="I14" s="49" t="n">
        <f aca="false">$D$14-($D$14/12*5)</f>
        <v>8.16666666666667</v>
      </c>
      <c r="J14" s="49" t="n">
        <f aca="false">$D$14-($D$14/12*6)</f>
        <v>7</v>
      </c>
      <c r="K14" s="48" t="n">
        <f aca="false">$D$14-($D$14/12*7)</f>
        <v>5.83333333333333</v>
      </c>
      <c r="L14" s="48" t="n">
        <f aca="false">$D$14-($D$14/12*8)</f>
        <v>4.66666666666667</v>
      </c>
      <c r="M14" s="48" t="n">
        <f aca="false">$D$14-($D$14/12*9)</f>
        <v>3.5</v>
      </c>
      <c r="N14" s="49" t="n">
        <f aca="false">$D$14-($D$14/12*10)</f>
        <v>2.33333333333333</v>
      </c>
      <c r="O14" s="48" t="n">
        <f aca="false">$D$14-($D$14/12*11)</f>
        <v>1.16666666666667</v>
      </c>
      <c r="P14" s="49" t="n">
        <f aca="false">$D$14-($D$14/12*12)</f>
        <v>0</v>
      </c>
    </row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B2:P2"/>
    <mergeCell ref="E3:P3"/>
    <mergeCell ref="B4:B5"/>
    <mergeCell ref="C4:C5"/>
    <mergeCell ref="B12:C12"/>
    <mergeCell ref="B13:C13"/>
    <mergeCell ref="B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22" colorId="64" zoomScale="85" zoomScaleNormal="85" zoomScalePageLayoutView="100" workbookViewId="0">
      <selection pane="topLeft" activeCell="C8" activeCellId="0" sqref="C8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1" width="7.15"/>
    <col collapsed="false" customWidth="true" hidden="false" outlineLevel="0" max="3" min="3" style="1" width="73.14"/>
    <col collapsed="false" customWidth="true" hidden="false" outlineLevel="0" max="4" min="4" style="1" width="15.72"/>
    <col collapsed="false" customWidth="true" hidden="false" outlineLevel="0" max="11" min="5" style="1" width="10"/>
    <col collapsed="false" customWidth="true" hidden="false" outlineLevel="0" max="13" min="12" style="1" width="8.72"/>
  </cols>
  <sheetData>
    <row r="1" customFormat="false" ht="14.25" hidden="false" customHeight="true" outlineLevel="0" collapsed="false"/>
    <row r="2" customFormat="false" ht="23.25" hidden="false" customHeight="true" outlineLevel="0" collapsed="false">
      <c r="B2" s="50" t="s">
        <v>27</v>
      </c>
      <c r="C2" s="50"/>
      <c r="D2" s="50"/>
      <c r="E2" s="50"/>
      <c r="F2" s="50"/>
      <c r="G2" s="50"/>
      <c r="H2" s="50"/>
      <c r="I2" s="50"/>
      <c r="J2" s="50"/>
      <c r="K2" s="50"/>
      <c r="M2" s="3"/>
    </row>
    <row r="3" customFormat="false" ht="14.25" hidden="false" customHeight="true" outlineLevel="0" collapsed="false">
      <c r="B3" s="4"/>
      <c r="C3" s="5"/>
      <c r="D3" s="5"/>
      <c r="E3" s="6" t="s">
        <v>28</v>
      </c>
      <c r="F3" s="6"/>
      <c r="G3" s="6"/>
      <c r="H3" s="6"/>
      <c r="I3" s="6"/>
      <c r="J3" s="6"/>
      <c r="K3" s="6"/>
      <c r="L3" s="7"/>
    </row>
    <row r="4" customFormat="false" ht="14.25" hidden="false" customHeight="true" outlineLevel="0" collapsed="false">
      <c r="B4" s="8" t="s">
        <v>2</v>
      </c>
      <c r="C4" s="9" t="s">
        <v>3</v>
      </c>
      <c r="D4" s="10" t="s">
        <v>4</v>
      </c>
      <c r="E4" s="11" t="n">
        <v>45950</v>
      </c>
      <c r="F4" s="11" t="n">
        <v>45951</v>
      </c>
      <c r="G4" s="11" t="n">
        <v>45952</v>
      </c>
      <c r="H4" s="11" t="n">
        <v>45953</v>
      </c>
      <c r="I4" s="11" t="n">
        <v>45954</v>
      </c>
      <c r="J4" s="11" t="n">
        <v>45955</v>
      </c>
      <c r="K4" s="11" t="n">
        <v>45956</v>
      </c>
      <c r="L4" s="7"/>
    </row>
    <row r="5" customFormat="false" ht="14.25" hidden="false" customHeight="true" outlineLevel="0" collapsed="false">
      <c r="B5" s="8"/>
      <c r="C5" s="9"/>
      <c r="D5" s="13" t="s">
        <v>5</v>
      </c>
      <c r="E5" s="14" t="s">
        <v>6</v>
      </c>
      <c r="F5" s="15" t="s">
        <v>7</v>
      </c>
      <c r="G5" s="15" t="s">
        <v>8</v>
      </c>
      <c r="H5" s="15" t="s">
        <v>9</v>
      </c>
      <c r="I5" s="16" t="s">
        <v>10</v>
      </c>
      <c r="J5" s="15" t="s">
        <v>11</v>
      </c>
      <c r="K5" s="16" t="s">
        <v>12</v>
      </c>
      <c r="L5" s="7"/>
    </row>
    <row r="6" customFormat="false" ht="14.25" hidden="false" customHeight="true" outlineLevel="0" collapsed="false">
      <c r="B6" s="17" t="n">
        <v>1</v>
      </c>
      <c r="C6" s="18" t="s">
        <v>18</v>
      </c>
      <c r="D6" s="19" t="n">
        <v>0.5</v>
      </c>
      <c r="E6" s="20" t="n">
        <v>0.1</v>
      </c>
      <c r="F6" s="21"/>
      <c r="G6" s="21"/>
      <c r="H6" s="21"/>
      <c r="I6" s="22"/>
      <c r="J6" s="21"/>
      <c r="K6" s="21"/>
    </row>
    <row r="7" customFormat="false" ht="14.25" hidden="false" customHeight="true" outlineLevel="0" collapsed="false">
      <c r="B7" s="24" t="n">
        <v>2</v>
      </c>
      <c r="C7" s="18" t="s">
        <v>19</v>
      </c>
      <c r="D7" s="25" t="n">
        <v>1</v>
      </c>
      <c r="E7" s="26" t="n">
        <v>0.3</v>
      </c>
      <c r="F7" s="27"/>
      <c r="G7" s="27" t="n">
        <v>0.3</v>
      </c>
      <c r="H7" s="27" t="n">
        <v>0.4</v>
      </c>
      <c r="I7" s="28"/>
      <c r="J7" s="27"/>
      <c r="K7" s="27"/>
    </row>
    <row r="8" customFormat="false" ht="14.25" hidden="false" customHeight="true" outlineLevel="0" collapsed="false">
      <c r="B8" s="24" t="n">
        <v>7</v>
      </c>
      <c r="C8" s="18" t="s">
        <v>29</v>
      </c>
      <c r="D8" s="25" t="n">
        <v>0.5</v>
      </c>
      <c r="E8" s="30" t="n">
        <v>0.2</v>
      </c>
      <c r="F8" s="27" t="n">
        <v>0.2</v>
      </c>
      <c r="G8" s="27" t="n">
        <v>0.1</v>
      </c>
      <c r="H8" s="27"/>
      <c r="I8" s="28"/>
      <c r="J8" s="27"/>
      <c r="K8" s="27"/>
    </row>
    <row r="9" customFormat="false" ht="14.25" hidden="false" customHeight="true" outlineLevel="0" collapsed="false">
      <c r="B9" s="24" t="n">
        <v>8</v>
      </c>
      <c r="C9" s="18" t="s">
        <v>30</v>
      </c>
      <c r="D9" s="25" t="n">
        <v>1</v>
      </c>
      <c r="E9" s="30"/>
      <c r="F9" s="27"/>
      <c r="G9" s="27" t="n">
        <v>0.2</v>
      </c>
      <c r="H9" s="27" t="n">
        <v>0.2</v>
      </c>
      <c r="I9" s="28" t="n">
        <v>0.1</v>
      </c>
      <c r="J9" s="27"/>
      <c r="K9" s="27"/>
    </row>
    <row r="10" customFormat="false" ht="14.25" hidden="false" customHeight="true" outlineLevel="0" collapsed="false">
      <c r="B10" s="24" t="n">
        <v>9</v>
      </c>
      <c r="C10" s="18" t="s">
        <v>31</v>
      </c>
      <c r="D10" s="25" t="n">
        <v>1</v>
      </c>
      <c r="E10" s="30"/>
      <c r="F10" s="27"/>
      <c r="G10" s="27"/>
      <c r="H10" s="27"/>
      <c r="I10" s="28"/>
      <c r="J10" s="27" t="n">
        <v>0.5</v>
      </c>
      <c r="K10" s="27" t="n">
        <v>0.5</v>
      </c>
    </row>
    <row r="11" customFormat="false" ht="14.25" hidden="false" customHeight="true" outlineLevel="0" collapsed="false">
      <c r="B11" s="24" t="n">
        <v>11</v>
      </c>
      <c r="C11" s="18" t="s">
        <v>32</v>
      </c>
      <c r="D11" s="25" t="n">
        <v>1</v>
      </c>
      <c r="E11" s="30" t="n">
        <v>0.2</v>
      </c>
      <c r="F11" s="27"/>
      <c r="G11" s="27"/>
      <c r="H11" s="27"/>
      <c r="I11" s="28"/>
      <c r="J11" s="27"/>
      <c r="K11" s="27"/>
    </row>
    <row r="12" customFormat="false" ht="14.25" hidden="false" customHeight="true" outlineLevel="0" collapsed="false">
      <c r="B12" s="24" t="n">
        <v>12</v>
      </c>
      <c r="C12" s="18" t="s">
        <v>33</v>
      </c>
      <c r="D12" s="25" t="n">
        <v>0.5</v>
      </c>
      <c r="E12" s="30" t="n">
        <v>0.2</v>
      </c>
      <c r="F12" s="27" t="n">
        <v>0.2</v>
      </c>
      <c r="G12" s="27" t="n">
        <v>0.1</v>
      </c>
      <c r="H12" s="27"/>
      <c r="I12" s="28"/>
      <c r="J12" s="27"/>
      <c r="K12" s="27"/>
    </row>
    <row r="13" customFormat="false" ht="14.25" hidden="false" customHeight="true" outlineLevel="0" collapsed="false">
      <c r="B13" s="24" t="n">
        <v>13</v>
      </c>
      <c r="C13" s="18" t="s">
        <v>34</v>
      </c>
      <c r="D13" s="25" t="n">
        <v>0.5</v>
      </c>
      <c r="E13" s="30"/>
      <c r="F13" s="27"/>
      <c r="G13" s="27"/>
      <c r="H13" s="27" t="n">
        <v>0.25</v>
      </c>
      <c r="I13" s="28" t="n">
        <v>0.25</v>
      </c>
      <c r="J13" s="27"/>
      <c r="K13" s="27"/>
    </row>
    <row r="14" customFormat="false" ht="14.25" hidden="false" customHeight="true" outlineLevel="0" collapsed="false">
      <c r="B14" s="24" t="n">
        <v>14</v>
      </c>
      <c r="C14" s="18" t="s">
        <v>35</v>
      </c>
      <c r="D14" s="25" t="n">
        <v>0.5</v>
      </c>
      <c r="E14" s="30"/>
      <c r="F14" s="27"/>
      <c r="G14" s="27"/>
      <c r="H14" s="27" t="n">
        <v>0.25</v>
      </c>
      <c r="I14" s="28" t="n">
        <v>0.25</v>
      </c>
      <c r="J14" s="27"/>
      <c r="K14" s="27"/>
    </row>
    <row r="15" customFormat="false" ht="14.25" hidden="false" customHeight="true" outlineLevel="0" collapsed="false">
      <c r="B15" s="31" t="s">
        <v>24</v>
      </c>
      <c r="C15" s="31"/>
      <c r="D15" s="32" t="n">
        <v>0</v>
      </c>
      <c r="E15" s="33" t="n">
        <f aca="false">SUM(E6:E14)</f>
        <v>1</v>
      </c>
      <c r="F15" s="34" t="n">
        <f aca="false">SUM(F6:F14)</f>
        <v>0.4</v>
      </c>
      <c r="G15" s="34" t="n">
        <f aca="false">SUM(G6:G14)</f>
        <v>0.7</v>
      </c>
      <c r="H15" s="34" t="n">
        <f aca="false">SUM(H6:H14)</f>
        <v>1.1</v>
      </c>
      <c r="I15" s="35" t="n">
        <f aca="false">SUM(I6:I14)</f>
        <v>0.6</v>
      </c>
      <c r="J15" s="36" t="n">
        <f aca="false">SUM(J6:J14)</f>
        <v>0.5</v>
      </c>
      <c r="K15" s="34" t="n">
        <f aca="false">SUM(K6:K14)</f>
        <v>0.5</v>
      </c>
    </row>
    <row r="16" customFormat="false" ht="14.25" hidden="false" customHeight="true" outlineLevel="0" collapsed="false">
      <c r="B16" s="38" t="s">
        <v>25</v>
      </c>
      <c r="C16" s="38"/>
      <c r="D16" s="39" t="n">
        <f aca="false">SUM(D6:D15)</f>
        <v>6.5</v>
      </c>
      <c r="E16" s="40" t="n">
        <f aca="false">D16-SUM(E6:E14)</f>
        <v>5.5</v>
      </c>
      <c r="F16" s="41" t="n">
        <f aca="false">E16-SUM(F6:F14)</f>
        <v>5.1</v>
      </c>
      <c r="G16" s="41" t="n">
        <f aca="false">F16-SUM(G6:G14)</f>
        <v>4.4</v>
      </c>
      <c r="H16" s="41" t="n">
        <f aca="false">G16-SUM(H6:H14)</f>
        <v>3.3</v>
      </c>
      <c r="I16" s="42" t="n">
        <f aca="false">H16-SUM(I6:I14)</f>
        <v>2.7</v>
      </c>
      <c r="J16" s="43" t="n">
        <f aca="false">I16-SUM(J6:J14)</f>
        <v>2.2</v>
      </c>
      <c r="K16" s="43" t="n">
        <f aca="false">J16-SUM(K6:K14)</f>
        <v>1.7</v>
      </c>
    </row>
    <row r="17" customFormat="false" ht="14.25" hidden="false" customHeight="true" outlineLevel="0" collapsed="false">
      <c r="B17" s="46" t="s">
        <v>26</v>
      </c>
      <c r="C17" s="46"/>
      <c r="D17" s="47" t="n">
        <f aca="false">D16</f>
        <v>6.5</v>
      </c>
      <c r="E17" s="48" t="n">
        <f aca="false">$D$17-($D$17/7*1)</f>
        <v>5.57142857142857</v>
      </c>
      <c r="F17" s="48" t="n">
        <f aca="false">$D$17-($D$17/7*2)</f>
        <v>4.64285714285714</v>
      </c>
      <c r="G17" s="48" t="n">
        <f aca="false">$D$17-($D$17/7*3)</f>
        <v>3.71428571428571</v>
      </c>
      <c r="H17" s="48" t="n">
        <f aca="false">$D$17-($D$17/7*4)</f>
        <v>2.78571428571429</v>
      </c>
      <c r="I17" s="49" t="n">
        <f aca="false">$D$17-($D$17/7*5)</f>
        <v>1.85714285714286</v>
      </c>
      <c r="J17" s="49" t="n">
        <f aca="false">$D$17-($D$17/7*6)</f>
        <v>0.928571428571429</v>
      </c>
      <c r="K17" s="48" t="n">
        <f aca="false">$D$17-($D$17/7*7)</f>
        <v>0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B2:K2"/>
    <mergeCell ref="E3:K3"/>
    <mergeCell ref="B4:B5"/>
    <mergeCell ref="C4:C5"/>
    <mergeCell ref="B15:C15"/>
    <mergeCell ref="B16:C16"/>
    <mergeCell ref="B17:C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000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L45" activeCellId="0" sqref="L4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1" width="7.15"/>
    <col collapsed="false" customWidth="true" hidden="false" outlineLevel="0" max="3" min="3" style="1" width="73.14"/>
    <col collapsed="false" customWidth="true" hidden="false" outlineLevel="0" max="4" min="4" style="1" width="15.72"/>
    <col collapsed="false" customWidth="true" hidden="false" outlineLevel="0" max="13" min="5" style="1" width="10"/>
  </cols>
  <sheetData>
    <row r="1" customFormat="false" ht="14.25" hidden="false" customHeight="true" outlineLevel="0" collapsed="false"/>
    <row r="2" customFormat="false" ht="23.25" hidden="false" customHeight="true" outlineLevel="0" collapsed="false">
      <c r="B2" s="51" t="s">
        <v>36</v>
      </c>
      <c r="C2" s="51"/>
      <c r="D2" s="51"/>
      <c r="E2" s="51"/>
      <c r="F2" s="51"/>
      <c r="G2" s="51"/>
      <c r="H2" s="51"/>
      <c r="I2" s="51"/>
      <c r="J2" s="51"/>
      <c r="K2" s="51"/>
      <c r="M2" s="3"/>
    </row>
    <row r="3" customFormat="false" ht="14.25" hidden="false" customHeight="true" outlineLevel="0" collapsed="false">
      <c r="B3" s="52"/>
      <c r="C3" s="53"/>
      <c r="D3" s="53"/>
      <c r="E3" s="6" t="s">
        <v>37</v>
      </c>
      <c r="F3" s="6"/>
      <c r="G3" s="6"/>
      <c r="H3" s="6"/>
      <c r="I3" s="6"/>
      <c r="J3" s="6"/>
      <c r="K3" s="6"/>
      <c r="L3" s="7"/>
    </row>
    <row r="4" customFormat="false" ht="14.25" hidden="false" customHeight="true" outlineLevel="0" collapsed="false">
      <c r="B4" s="8" t="s">
        <v>2</v>
      </c>
      <c r="C4" s="9" t="s">
        <v>3</v>
      </c>
      <c r="D4" s="10" t="s">
        <v>4</v>
      </c>
      <c r="E4" s="11" t="n">
        <v>45957</v>
      </c>
      <c r="F4" s="11" t="n">
        <v>45958</v>
      </c>
      <c r="G4" s="11" t="n">
        <v>45959</v>
      </c>
      <c r="H4" s="11" t="n">
        <v>45960</v>
      </c>
      <c r="I4" s="11" t="n">
        <v>45961</v>
      </c>
      <c r="J4" s="11" t="n">
        <v>45962</v>
      </c>
      <c r="K4" s="11" t="n">
        <v>45963</v>
      </c>
    </row>
    <row r="5" customFormat="false" ht="14.25" hidden="false" customHeight="true" outlineLevel="0" collapsed="false">
      <c r="B5" s="8"/>
      <c r="C5" s="9"/>
      <c r="D5" s="13" t="s">
        <v>5</v>
      </c>
      <c r="E5" s="14" t="s">
        <v>6</v>
      </c>
      <c r="F5" s="15" t="s">
        <v>7</v>
      </c>
      <c r="G5" s="15" t="s">
        <v>8</v>
      </c>
      <c r="H5" s="15" t="s">
        <v>9</v>
      </c>
      <c r="I5" s="16" t="s">
        <v>10</v>
      </c>
      <c r="J5" s="15" t="s">
        <v>11</v>
      </c>
      <c r="K5" s="16" t="s">
        <v>12</v>
      </c>
    </row>
    <row r="6" customFormat="false" ht="14.25" hidden="false" customHeight="true" outlineLevel="0" collapsed="false">
      <c r="B6" s="17" t="n">
        <v>1</v>
      </c>
      <c r="C6" s="18" t="s">
        <v>18</v>
      </c>
      <c r="D6" s="19" t="n">
        <v>0.1</v>
      </c>
      <c r="E6" s="20"/>
      <c r="F6" s="21"/>
      <c r="G6" s="21"/>
      <c r="H6" s="21"/>
      <c r="I6" s="22"/>
      <c r="J6" s="21" t="n">
        <v>0.1</v>
      </c>
      <c r="K6" s="21"/>
      <c r="L6" s="54" t="str">
        <f aca="false">IF(N6=0, "NOT STARTED",IF(N6&gt;D6, "ERROR TO MUCH WORK", IF(N6=D6, "DONE", "NOT ENOUGH WORK YET")))</f>
        <v>DONE</v>
      </c>
      <c r="M6" s="54"/>
      <c r="N6" s="3" t="n">
        <f aca="false">SUM(E6:K6)</f>
        <v>0.1</v>
      </c>
      <c r="O6" s="3" t="s">
        <v>38</v>
      </c>
      <c r="P6" s="3" t="n">
        <v>11</v>
      </c>
    </row>
    <row r="7" customFormat="false" ht="14.25" hidden="false" customHeight="true" outlineLevel="0" collapsed="false">
      <c r="B7" s="24" t="n">
        <v>11</v>
      </c>
      <c r="C7" s="18" t="s">
        <v>39</v>
      </c>
      <c r="D7" s="25" t="n">
        <v>0.5</v>
      </c>
      <c r="E7" s="26" t="n">
        <v>0.25</v>
      </c>
      <c r="F7" s="27"/>
      <c r="G7" s="27"/>
      <c r="H7" s="27"/>
      <c r="I7" s="28"/>
      <c r="J7" s="27"/>
      <c r="K7" s="27"/>
      <c r="L7" s="54" t="str">
        <f aca="false">IF(N7=0, "NOT STARTED",IF(N7&gt;D7, "ERROR TO MUCH WORK", IF(N7=D7, "DONE", "NOT ENOUGH WORK YET")))</f>
        <v>NOT ENOUGH WORK YET</v>
      </c>
      <c r="M7" s="54"/>
      <c r="N7" s="3" t="n">
        <f aca="false">SUM(E7:K7)</f>
        <v>0.25</v>
      </c>
      <c r="O7" s="3" t="s">
        <v>40</v>
      </c>
      <c r="P7" s="3" t="n">
        <v>12</v>
      </c>
    </row>
    <row r="8" customFormat="false" ht="14.25" hidden="false" customHeight="true" outlineLevel="0" collapsed="false">
      <c r="B8" s="24" t="n">
        <v>14.1</v>
      </c>
      <c r="C8" s="18" t="s">
        <v>41</v>
      </c>
      <c r="D8" s="25" t="n">
        <v>0.5</v>
      </c>
      <c r="E8" s="30"/>
      <c r="F8" s="27" t="n">
        <v>0.25</v>
      </c>
      <c r="G8" s="27"/>
      <c r="H8" s="27"/>
      <c r="I8" s="28"/>
      <c r="J8" s="27" t="n">
        <v>0.1</v>
      </c>
      <c r="K8" s="27" t="n">
        <v>0.15</v>
      </c>
      <c r="L8" s="54" t="str">
        <f aca="false">IF(N8=0, "NOT STARTED",IF(N8&gt;D8, "ERROR TO MUCH WORK", IF(N8=D8, "DONE", "NOT ENOUGH WORK YET")))</f>
        <v>DONE</v>
      </c>
      <c r="M8" s="54"/>
      <c r="N8" s="3" t="n">
        <f aca="false">SUM(E8:K8)</f>
        <v>0.5</v>
      </c>
      <c r="O8" s="3" t="s">
        <v>42</v>
      </c>
      <c r="P8" s="3" t="n">
        <v>14</v>
      </c>
    </row>
    <row r="9" customFormat="false" ht="14.25" hidden="false" customHeight="true" outlineLevel="0" collapsed="false">
      <c r="B9" s="24" t="n">
        <v>14.2</v>
      </c>
      <c r="C9" s="18" t="s">
        <v>43</v>
      </c>
      <c r="D9" s="19" t="n">
        <v>0.5</v>
      </c>
      <c r="E9" s="30"/>
      <c r="F9" s="27"/>
      <c r="G9" s="27"/>
      <c r="H9" s="27"/>
      <c r="I9" s="28" t="n">
        <v>0.25</v>
      </c>
      <c r="J9" s="27" t="n">
        <v>0.25</v>
      </c>
      <c r="K9" s="27"/>
      <c r="L9" s="54" t="str">
        <f aca="false">IF(N9=0, "NOT STARTED",IF(N9&gt;D9, "ERROR TO MUCH WORK", IF(N9=D9, "DONE", "NOT ENOUGH WORK YET")))</f>
        <v>DONE</v>
      </c>
      <c r="M9" s="54"/>
      <c r="N9" s="3" t="n">
        <f aca="false">SUM(E9:K9)</f>
        <v>0.5</v>
      </c>
      <c r="O9" s="3" t="s">
        <v>40</v>
      </c>
      <c r="P9" s="3" t="n">
        <v>14</v>
      </c>
    </row>
    <row r="10" customFormat="false" ht="14.25" hidden="false" customHeight="true" outlineLevel="0" collapsed="false">
      <c r="B10" s="24" t="n">
        <v>14.3</v>
      </c>
      <c r="C10" s="18" t="s">
        <v>44</v>
      </c>
      <c r="D10" s="25" t="n">
        <v>0.5</v>
      </c>
      <c r="E10" s="30" t="n">
        <v>0.25</v>
      </c>
      <c r="F10" s="27"/>
      <c r="G10" s="27"/>
      <c r="H10" s="27"/>
      <c r="I10" s="28"/>
      <c r="J10" s="27" t="n">
        <v>0.25</v>
      </c>
      <c r="K10" s="27"/>
      <c r="L10" s="54" t="str">
        <f aca="false">IF(N10=0, "NOT STARTED",IF(N10&gt;D10, "ERROR TO MUCH WORK", IF(N10=D10, "DONE", "NOT ENOUGH WORK YET")))</f>
        <v>DONE</v>
      </c>
      <c r="M10" s="54"/>
      <c r="N10" s="3" t="n">
        <f aca="false">SUM(E10:K10)</f>
        <v>0.5</v>
      </c>
      <c r="O10" s="3" t="s">
        <v>45</v>
      </c>
      <c r="P10" s="3" t="n">
        <v>14</v>
      </c>
    </row>
    <row r="11" customFormat="false" ht="14.25" hidden="false" customHeight="true" outlineLevel="0" collapsed="false">
      <c r="B11" s="24" t="n">
        <v>14.4</v>
      </c>
      <c r="C11" s="18" t="s">
        <v>46</v>
      </c>
      <c r="D11" s="25" t="n">
        <v>0.5</v>
      </c>
      <c r="E11" s="30"/>
      <c r="F11" s="27"/>
      <c r="G11" s="27"/>
      <c r="H11" s="27" t="n">
        <v>0.25</v>
      </c>
      <c r="I11" s="28"/>
      <c r="J11" s="27"/>
      <c r="K11" s="27" t="n">
        <v>0.25</v>
      </c>
      <c r="L11" s="54" t="str">
        <f aca="false">IF(N11=0, "NOT STARTED",IF(N11&gt;D11, "ERROR TO MUCH WORK", IF(N11=D11, "DONE", "NOT ENOUGH WORK YET")))</f>
        <v>DONE</v>
      </c>
      <c r="M11" s="54"/>
      <c r="N11" s="3" t="n">
        <f aca="false">SUM(E11:K11)</f>
        <v>0.5</v>
      </c>
      <c r="O11" s="3" t="s">
        <v>38</v>
      </c>
      <c r="P11" s="3" t="n">
        <v>14</v>
      </c>
    </row>
    <row r="12" customFormat="false" ht="14.25" hidden="false" customHeight="true" outlineLevel="0" collapsed="false">
      <c r="B12" s="24" t="n">
        <v>14.5</v>
      </c>
      <c r="C12" s="55" t="s">
        <v>47</v>
      </c>
      <c r="D12" s="19" t="n">
        <v>0.5</v>
      </c>
      <c r="E12" s="30"/>
      <c r="F12" s="27"/>
      <c r="G12" s="27"/>
      <c r="H12" s="27"/>
      <c r="I12" s="28"/>
      <c r="J12" s="27" t="n">
        <v>0.25</v>
      </c>
      <c r="K12" s="27"/>
      <c r="L12" s="54" t="str">
        <f aca="false">IF(N12=0, "NOT STARTED",IF(N12&gt;D12, "ERROR TO MUCH WORK", IF(N12=D12, "DONE", "NOT ENOUGH WORK YET")))</f>
        <v>NOT ENOUGH WORK YET</v>
      </c>
      <c r="M12" s="54"/>
      <c r="N12" s="3" t="n">
        <f aca="false">SUM(E12:K12)</f>
        <v>0.25</v>
      </c>
      <c r="O12" s="3" t="s">
        <v>48</v>
      </c>
      <c r="P12" s="3" t="n">
        <v>14</v>
      </c>
    </row>
    <row r="13" customFormat="false" ht="14.25" hidden="false" customHeight="true" outlineLevel="0" collapsed="false">
      <c r="B13" s="24" t="n">
        <v>14.6</v>
      </c>
      <c r="C13" s="55" t="s">
        <v>49</v>
      </c>
      <c r="D13" s="25" t="n">
        <v>0.5</v>
      </c>
      <c r="E13" s="30"/>
      <c r="F13" s="27" t="n">
        <v>0.25</v>
      </c>
      <c r="G13" s="27" t="n">
        <v>0.25</v>
      </c>
      <c r="H13" s="27"/>
      <c r="I13" s="28"/>
      <c r="J13" s="27"/>
      <c r="K13" s="27"/>
      <c r="L13" s="54" t="str">
        <f aca="false">IF(N13=0, "NOT STARTED",IF(N13&gt;D13, "ERROR TO MUCH WORK", IF(N13=D13, "DONE", "NOT ENOUGH WORK YET")))</f>
        <v>DONE</v>
      </c>
      <c r="M13" s="54"/>
      <c r="N13" s="3" t="n">
        <f aca="false">SUM(E13:K13)</f>
        <v>0.5</v>
      </c>
      <c r="O13" s="3" t="s">
        <v>50</v>
      </c>
      <c r="P13" s="3" t="n">
        <v>14</v>
      </c>
    </row>
    <row r="14" customFormat="false" ht="14.25" hidden="false" customHeight="true" outlineLevel="0" collapsed="false">
      <c r="B14" s="24" t="n">
        <v>15.1</v>
      </c>
      <c r="C14" s="3" t="s">
        <v>51</v>
      </c>
      <c r="D14" s="25" t="n">
        <v>0.5</v>
      </c>
      <c r="E14" s="30"/>
      <c r="F14" s="27"/>
      <c r="G14" s="27"/>
      <c r="H14" s="27"/>
      <c r="I14" s="28"/>
      <c r="J14" s="27"/>
      <c r="K14" s="27" t="n">
        <v>0.2</v>
      </c>
      <c r="L14" s="54" t="str">
        <f aca="false">IF(N14=0, "NOT STARTED",IF(N14&gt;D14, "ERROR TO MUCH WORK", IF(N14=D14, "DONE", "NOT ENOUGH WORK YET")))</f>
        <v>NOT ENOUGH WORK YET</v>
      </c>
      <c r="M14" s="54"/>
      <c r="N14" s="3" t="n">
        <f aca="false">SUM(E14:K14)</f>
        <v>0.2</v>
      </c>
      <c r="O14" s="3" t="s">
        <v>42</v>
      </c>
      <c r="P14" s="3" t="n">
        <v>15</v>
      </c>
    </row>
    <row r="15" customFormat="false" ht="14.25" hidden="false" customHeight="true" outlineLevel="0" collapsed="false">
      <c r="B15" s="24" t="n">
        <v>15.2</v>
      </c>
      <c r="C15" s="3" t="s">
        <v>52</v>
      </c>
      <c r="D15" s="19" t="n">
        <v>0.5</v>
      </c>
      <c r="E15" s="30"/>
      <c r="F15" s="27"/>
      <c r="G15" s="27"/>
      <c r="H15" s="27"/>
      <c r="I15" s="28"/>
      <c r="J15" s="27" t="n">
        <v>0.25</v>
      </c>
      <c r="K15" s="27" t="n">
        <v>0.2</v>
      </c>
      <c r="L15" s="54" t="str">
        <f aca="false">IF(N15=0, "NOT STARTED",IF(N15&gt;D15, "ERROR TO MUCH WORK", IF(N15=D15, "DONE", "NOT ENOUGH WORK YET")))</f>
        <v>NOT ENOUGH WORK YET</v>
      </c>
      <c r="M15" s="54"/>
      <c r="N15" s="3" t="n">
        <f aca="false">SUM(E15:K15)</f>
        <v>0.45</v>
      </c>
      <c r="O15" s="3" t="s">
        <v>40</v>
      </c>
      <c r="P15" s="3" t="n">
        <v>15</v>
      </c>
    </row>
    <row r="16" customFormat="false" ht="14.25" hidden="false" customHeight="true" outlineLevel="0" collapsed="false">
      <c r="B16" s="24" t="n">
        <v>15.3</v>
      </c>
      <c r="C16" s="3" t="s">
        <v>53</v>
      </c>
      <c r="D16" s="25" t="n">
        <v>0.5</v>
      </c>
      <c r="E16" s="30"/>
      <c r="F16" s="27"/>
      <c r="G16" s="27"/>
      <c r="H16" s="27"/>
      <c r="I16" s="28" t="n">
        <v>0.1</v>
      </c>
      <c r="J16" s="27" t="n">
        <v>0.3</v>
      </c>
      <c r="K16" s="27"/>
      <c r="L16" s="54" t="str">
        <f aca="false">IF(N16=0, "NOT STARTED",IF(N16&gt;D16, "ERROR TO MUCH WORK", IF(N16=D16, "DONE", "NOT ENOUGH WORK YET")))</f>
        <v>NOT ENOUGH WORK YET</v>
      </c>
      <c r="M16" s="54"/>
      <c r="N16" s="3" t="n">
        <f aca="false">SUM(E16:K16)</f>
        <v>0.4</v>
      </c>
      <c r="O16" s="3" t="s">
        <v>45</v>
      </c>
      <c r="P16" s="3" t="n">
        <v>15</v>
      </c>
    </row>
    <row r="17" customFormat="false" ht="14.25" hidden="false" customHeight="true" outlineLevel="0" collapsed="false">
      <c r="B17" s="24" t="n">
        <v>15.4</v>
      </c>
      <c r="C17" s="3" t="s">
        <v>54</v>
      </c>
      <c r="D17" s="25" t="n">
        <v>0.5</v>
      </c>
      <c r="E17" s="30"/>
      <c r="F17" s="27"/>
      <c r="G17" s="27"/>
      <c r="H17" s="27" t="n">
        <v>0.2</v>
      </c>
      <c r="I17" s="28"/>
      <c r="J17" s="27"/>
      <c r="K17" s="27" t="n">
        <v>0.2</v>
      </c>
      <c r="L17" s="54" t="str">
        <f aca="false">IF(N17=0, "NOT STARTED",IF(N17&gt;D17, "ERROR TO MUCH WORK", IF(N17=D17, "DONE", "NOT ENOUGH WORK YET")))</f>
        <v>NOT ENOUGH WORK YET</v>
      </c>
      <c r="M17" s="54"/>
      <c r="N17" s="3" t="n">
        <f aca="false">SUM(E17:K17)</f>
        <v>0.4</v>
      </c>
      <c r="O17" s="3" t="s">
        <v>38</v>
      </c>
      <c r="P17" s="3" t="n">
        <v>15</v>
      </c>
    </row>
    <row r="18" customFormat="false" ht="14.25" hidden="false" customHeight="true" outlineLevel="0" collapsed="false">
      <c r="B18" s="24" t="n">
        <v>15.5</v>
      </c>
      <c r="C18" s="3" t="s">
        <v>55</v>
      </c>
      <c r="D18" s="19" t="n">
        <v>0.5</v>
      </c>
      <c r="E18" s="30"/>
      <c r="F18" s="27"/>
      <c r="G18" s="27"/>
      <c r="H18" s="27"/>
      <c r="I18" s="28"/>
      <c r="J18" s="27"/>
      <c r="K18" s="27"/>
      <c r="L18" s="54" t="str">
        <f aca="false">IF(N18=0, "NOT STARTED",IF(N18&gt;D18, "ERROR TO MUCH WORK", IF(N18=D18, "DONE", "NOT ENOUGH WORK YET")))</f>
        <v>NOT STARTED</v>
      </c>
      <c r="M18" s="54"/>
      <c r="N18" s="3" t="n">
        <f aca="false">SUM(E18:K18)</f>
        <v>0</v>
      </c>
      <c r="O18" s="3" t="s">
        <v>48</v>
      </c>
      <c r="P18" s="3" t="n">
        <v>15</v>
      </c>
    </row>
    <row r="19" customFormat="false" ht="14.25" hidden="false" customHeight="true" outlineLevel="0" collapsed="false">
      <c r="B19" s="24" t="n">
        <v>15.6</v>
      </c>
      <c r="C19" s="3" t="s">
        <v>56</v>
      </c>
      <c r="D19" s="25" t="n">
        <v>0.5</v>
      </c>
      <c r="E19" s="30"/>
      <c r="F19" s="27"/>
      <c r="G19" s="27"/>
      <c r="H19" s="27" t="n">
        <v>0.25</v>
      </c>
      <c r="I19" s="28" t="n">
        <v>0.1</v>
      </c>
      <c r="J19" s="27"/>
      <c r="K19" s="27"/>
      <c r="L19" s="54" t="str">
        <f aca="false">IF(N19=0, "NOT STARTED",IF(N19&gt;D19, "ERROR TO MUCH WORK", IF(N19=D19, "DONE", "NOT ENOUGH WORK YET")))</f>
        <v>NOT ENOUGH WORK YET</v>
      </c>
      <c r="M19" s="54"/>
      <c r="N19" s="3" t="n">
        <f aca="false">SUM(E19:K19)</f>
        <v>0.35</v>
      </c>
      <c r="O19" s="3" t="s">
        <v>50</v>
      </c>
      <c r="P19" s="3" t="n">
        <v>15</v>
      </c>
    </row>
    <row r="20" customFormat="false" ht="14.25" hidden="false" customHeight="true" outlineLevel="0" collapsed="false">
      <c r="B20" s="24" t="n">
        <v>16.1</v>
      </c>
      <c r="C20" s="18" t="s">
        <v>57</v>
      </c>
      <c r="D20" s="25" t="n">
        <v>0.5</v>
      </c>
      <c r="E20" s="30"/>
      <c r="F20" s="27" t="n">
        <v>0.1</v>
      </c>
      <c r="G20" s="27" t="n">
        <v>0.1</v>
      </c>
      <c r="H20" s="27"/>
      <c r="I20" s="28"/>
      <c r="J20" s="27" t="n">
        <v>0.1</v>
      </c>
      <c r="K20" s="27" t="n">
        <v>0.2</v>
      </c>
      <c r="L20" s="54" t="str">
        <f aca="false">IF(N20=0, "NOT STARTED",IF(N20&gt;D20, "ERROR TO MUCH WORK", IF(N20=D20, "DONE", "NOT ENOUGH WORK YET")))</f>
        <v>DONE</v>
      </c>
      <c r="M20" s="54"/>
      <c r="N20" s="3" t="n">
        <f aca="false">SUM(E20:K20)</f>
        <v>0.5</v>
      </c>
      <c r="O20" s="3" t="s">
        <v>42</v>
      </c>
      <c r="P20" s="3" t="n">
        <v>16</v>
      </c>
    </row>
    <row r="21" customFormat="false" ht="14.25" hidden="false" customHeight="true" outlineLevel="0" collapsed="false">
      <c r="B21" s="24" t="n">
        <v>16.2</v>
      </c>
      <c r="C21" s="18" t="s">
        <v>58</v>
      </c>
      <c r="D21" s="19" t="n">
        <v>0.5</v>
      </c>
      <c r="E21" s="30"/>
      <c r="F21" s="27"/>
      <c r="G21" s="27"/>
      <c r="H21" s="27"/>
      <c r="I21" s="28" t="n">
        <v>0.1</v>
      </c>
      <c r="J21" s="27" t="n">
        <v>0.2</v>
      </c>
      <c r="K21" s="27" t="n">
        <v>0.2</v>
      </c>
      <c r="L21" s="54" t="str">
        <f aca="false">IF(N21=0, "NOT STARTED",IF(N21&gt;D21, "ERROR TO MUCH WORK", IF(N21=D21, "DONE", "NOT ENOUGH WORK YET")))</f>
        <v>DONE</v>
      </c>
      <c r="M21" s="54"/>
      <c r="N21" s="3" t="n">
        <f aca="false">SUM(E21:K21)</f>
        <v>0.5</v>
      </c>
      <c r="O21" s="3" t="s">
        <v>40</v>
      </c>
      <c r="P21" s="3" t="n">
        <v>16</v>
      </c>
    </row>
    <row r="22" customFormat="false" ht="14.25" hidden="false" customHeight="true" outlineLevel="0" collapsed="false">
      <c r="B22" s="24" t="n">
        <v>16.3</v>
      </c>
      <c r="C22" s="18" t="s">
        <v>59</v>
      </c>
      <c r="D22" s="25" t="n">
        <v>0.5</v>
      </c>
      <c r="E22" s="30" t="n">
        <v>0.1</v>
      </c>
      <c r="F22" s="27"/>
      <c r="G22" s="27"/>
      <c r="H22" s="27"/>
      <c r="I22" s="28" t="n">
        <v>0.1</v>
      </c>
      <c r="J22" s="27" t="n">
        <v>0.1</v>
      </c>
      <c r="K22" s="27" t="n">
        <v>0.2</v>
      </c>
      <c r="L22" s="54" t="str">
        <f aca="false">IF(N22=0, "NOT STARTED",IF(N22&gt;D22, "ERROR TO MUCH WORK", IF(N22=D22, "DONE", "NOT ENOUGH WORK YET")))</f>
        <v>DONE</v>
      </c>
      <c r="M22" s="54"/>
      <c r="N22" s="3" t="n">
        <f aca="false">SUM(E22:K22)</f>
        <v>0.5</v>
      </c>
      <c r="O22" s="3" t="s">
        <v>45</v>
      </c>
      <c r="P22" s="3" t="n">
        <v>16</v>
      </c>
    </row>
    <row r="23" customFormat="false" ht="14.25" hidden="false" customHeight="true" outlineLevel="0" collapsed="false">
      <c r="B23" s="24" t="n">
        <v>16.4</v>
      </c>
      <c r="C23" s="18" t="s">
        <v>60</v>
      </c>
      <c r="D23" s="25" t="n">
        <v>0.5</v>
      </c>
      <c r="E23" s="30"/>
      <c r="F23" s="27"/>
      <c r="G23" s="27"/>
      <c r="H23" s="27"/>
      <c r="I23" s="28"/>
      <c r="J23" s="27"/>
      <c r="K23" s="27" t="n">
        <v>0.25</v>
      </c>
      <c r="L23" s="54" t="str">
        <f aca="false">IF(N23=0, "NOT STARTED",IF(N23&gt;D23, "ERROR TO MUCH WORK", IF(N23=D23, "DONE", "NOT ENOUGH WORK YET")))</f>
        <v>NOT ENOUGH WORK YET</v>
      </c>
      <c r="M23" s="54"/>
      <c r="N23" s="3" t="n">
        <f aca="false">SUM(E23:K23)</f>
        <v>0.25</v>
      </c>
      <c r="O23" s="3" t="s">
        <v>38</v>
      </c>
      <c r="P23" s="3" t="n">
        <v>16</v>
      </c>
    </row>
    <row r="24" customFormat="false" ht="14.25" hidden="false" customHeight="true" outlineLevel="0" collapsed="false">
      <c r="B24" s="24" t="n">
        <v>16.5</v>
      </c>
      <c r="C24" s="18" t="s">
        <v>61</v>
      </c>
      <c r="D24" s="19" t="n">
        <v>0.5</v>
      </c>
      <c r="E24" s="30"/>
      <c r="F24" s="27"/>
      <c r="G24" s="27"/>
      <c r="H24" s="27"/>
      <c r="I24" s="28"/>
      <c r="J24" s="27"/>
      <c r="K24" s="27"/>
      <c r="L24" s="54" t="str">
        <f aca="false">IF(N24=0, "NOT STARTED",IF(N24&gt;D24, "ERROR TO MUCH WORK", IF(N24=D24, "DONE", "NOT ENOUGH WORK YET")))</f>
        <v>NOT STARTED</v>
      </c>
      <c r="M24" s="54"/>
      <c r="N24" s="3" t="n">
        <f aca="false">SUM(E24:K24)</f>
        <v>0</v>
      </c>
      <c r="O24" s="3" t="s">
        <v>48</v>
      </c>
      <c r="P24" s="3" t="n">
        <v>16</v>
      </c>
    </row>
    <row r="25" customFormat="false" ht="14.25" hidden="false" customHeight="true" outlineLevel="0" collapsed="false">
      <c r="B25" s="24" t="n">
        <v>16.6</v>
      </c>
      <c r="C25" s="18" t="s">
        <v>62</v>
      </c>
      <c r="D25" s="25" t="n">
        <v>0.5</v>
      </c>
      <c r="E25" s="30"/>
      <c r="F25" s="27" t="n">
        <v>0.25</v>
      </c>
      <c r="G25" s="27"/>
      <c r="H25" s="27"/>
      <c r="I25" s="28"/>
      <c r="J25" s="27"/>
      <c r="K25" s="27"/>
      <c r="L25" s="54" t="str">
        <f aca="false">IF(N25=0, "NOT STARTED",IF(N25&gt;D25, "ERROR TO MUCH WORK", IF(N25=D25, "DONE", "NOT ENOUGH WORK YET")))</f>
        <v>NOT ENOUGH WORK YET</v>
      </c>
      <c r="M25" s="54"/>
      <c r="N25" s="3" t="n">
        <f aca="false">SUM(E25:K25)</f>
        <v>0.25</v>
      </c>
      <c r="O25" s="3" t="s">
        <v>50</v>
      </c>
      <c r="P25" s="3" t="n">
        <v>16</v>
      </c>
    </row>
    <row r="26" customFormat="false" ht="14.25" hidden="false" customHeight="true" outlineLevel="0" collapsed="false">
      <c r="B26" s="24" t="n">
        <v>17.1</v>
      </c>
      <c r="C26" s="3" t="s">
        <v>63</v>
      </c>
      <c r="D26" s="25" t="n">
        <v>0.5</v>
      </c>
      <c r="E26" s="30"/>
      <c r="F26" s="27" t="n">
        <v>0.25</v>
      </c>
      <c r="G26" s="27"/>
      <c r="H26" s="27"/>
      <c r="I26" s="28"/>
      <c r="J26" s="27" t="n">
        <v>0.25</v>
      </c>
      <c r="K26" s="27"/>
      <c r="L26" s="54" t="str">
        <f aca="false">IF(N26=0, "NOT STARTED",IF(N26&gt;D26, "ERROR TO MUCH WORK", IF(N26=D26, "DONE", "NOT ENOUGH WORK YET")))</f>
        <v>DONE</v>
      </c>
      <c r="M26" s="54"/>
      <c r="N26" s="3" t="n">
        <f aca="false">SUM(E26:K26)</f>
        <v>0.5</v>
      </c>
      <c r="O26" s="3" t="s">
        <v>42</v>
      </c>
      <c r="P26" s="3" t="n">
        <v>17</v>
      </c>
    </row>
    <row r="27" customFormat="false" ht="14.25" hidden="false" customHeight="true" outlineLevel="0" collapsed="false">
      <c r="B27" s="24" t="n">
        <v>17.2</v>
      </c>
      <c r="C27" s="3" t="s">
        <v>64</v>
      </c>
      <c r="D27" s="19" t="n">
        <v>0.5</v>
      </c>
      <c r="E27" s="30"/>
      <c r="F27" s="27"/>
      <c r="G27" s="27"/>
      <c r="H27" s="27"/>
      <c r="I27" s="28" t="n">
        <v>0.2</v>
      </c>
      <c r="J27" s="27" t="n">
        <v>0.2</v>
      </c>
      <c r="K27" s="27" t="n">
        <v>0.1</v>
      </c>
      <c r="L27" s="54" t="str">
        <f aca="false">IF(N27=0, "NOT STARTED",IF(N27&gt;D27, "ERROR TO MUCH WORK", IF(N27=D27, "DONE", "NOT ENOUGH WORK YET")))</f>
        <v>DONE</v>
      </c>
      <c r="M27" s="54"/>
      <c r="N27" s="3" t="n">
        <f aca="false">SUM(E27:K27)</f>
        <v>0.5</v>
      </c>
      <c r="O27" s="3" t="s">
        <v>40</v>
      </c>
      <c r="P27" s="3" t="n">
        <v>17</v>
      </c>
    </row>
    <row r="28" customFormat="false" ht="14.25" hidden="false" customHeight="true" outlineLevel="0" collapsed="false">
      <c r="B28" s="24" t="n">
        <v>17.3</v>
      </c>
      <c r="C28" s="3" t="s">
        <v>65</v>
      </c>
      <c r="D28" s="25" t="n">
        <v>0.5</v>
      </c>
      <c r="E28" s="30"/>
      <c r="F28" s="27"/>
      <c r="G28" s="27"/>
      <c r="H28" s="27"/>
      <c r="I28" s="28" t="n">
        <v>0.2</v>
      </c>
      <c r="J28" s="27" t="n">
        <v>0.2</v>
      </c>
      <c r="K28" s="27" t="n">
        <v>0.1</v>
      </c>
      <c r="L28" s="54" t="str">
        <f aca="false">IF(N28=0, "NOT STARTED",IF(N28&gt;D28, "ERROR TO MUCH WORK", IF(N28=D28, "DONE", "NOT ENOUGH WORK YET")))</f>
        <v>DONE</v>
      </c>
      <c r="M28" s="54"/>
      <c r="N28" s="3" t="n">
        <f aca="false">SUM(E28:K28)</f>
        <v>0.5</v>
      </c>
      <c r="O28" s="3" t="s">
        <v>45</v>
      </c>
      <c r="P28" s="3" t="n">
        <v>17</v>
      </c>
    </row>
    <row r="29" customFormat="false" ht="14.25" hidden="false" customHeight="true" outlineLevel="0" collapsed="false">
      <c r="B29" s="24" t="n">
        <v>17.4</v>
      </c>
      <c r="C29" s="3" t="s">
        <v>66</v>
      </c>
      <c r="D29" s="25" t="n">
        <v>0.5</v>
      </c>
      <c r="E29" s="30"/>
      <c r="F29" s="27"/>
      <c r="G29" s="27"/>
      <c r="H29" s="27"/>
      <c r="I29" s="28"/>
      <c r="J29" s="27"/>
      <c r="K29" s="27" t="n">
        <v>0.2</v>
      </c>
      <c r="L29" s="54" t="str">
        <f aca="false">IF(N29=0, "NOT STARTED",IF(N29&gt;D29, "ERROR TO MUCH WORK", IF(N29=D29, "DONE", "NOT ENOUGH WORK YET")))</f>
        <v>NOT ENOUGH WORK YET</v>
      </c>
      <c r="M29" s="54"/>
      <c r="N29" s="3" t="n">
        <f aca="false">SUM(E29:K29)</f>
        <v>0.2</v>
      </c>
      <c r="O29" s="3" t="s">
        <v>38</v>
      </c>
      <c r="P29" s="3" t="n">
        <v>17</v>
      </c>
    </row>
    <row r="30" customFormat="false" ht="14.25" hidden="false" customHeight="true" outlineLevel="0" collapsed="false">
      <c r="B30" s="24" t="n">
        <v>17.5</v>
      </c>
      <c r="C30" s="3" t="s">
        <v>67</v>
      </c>
      <c r="D30" s="19" t="n">
        <v>0.5</v>
      </c>
      <c r="E30" s="30"/>
      <c r="F30" s="27"/>
      <c r="G30" s="27"/>
      <c r="H30" s="27"/>
      <c r="I30" s="28"/>
      <c r="J30" s="27"/>
      <c r="K30" s="27"/>
      <c r="L30" s="54" t="str">
        <f aca="false">IF(N30=0, "NOT STARTED",IF(N30&gt;D30, "ERROR TO MUCH WORK", IF(N30=D30, "DONE", "NOT ENOUGH WORK YET")))</f>
        <v>NOT STARTED</v>
      </c>
      <c r="M30" s="54"/>
      <c r="N30" s="3" t="n">
        <f aca="false">SUM(E30:K30)</f>
        <v>0</v>
      </c>
      <c r="O30" s="3" t="s">
        <v>48</v>
      </c>
      <c r="P30" s="3" t="n">
        <v>17</v>
      </c>
    </row>
    <row r="31" customFormat="false" ht="14.25" hidden="false" customHeight="true" outlineLevel="0" collapsed="false">
      <c r="B31" s="24" t="n">
        <v>17.6</v>
      </c>
      <c r="C31" s="3" t="s">
        <v>68</v>
      </c>
      <c r="D31" s="25" t="n">
        <v>0.5</v>
      </c>
      <c r="E31" s="30"/>
      <c r="F31" s="27" t="n">
        <v>0.25</v>
      </c>
      <c r="G31" s="27"/>
      <c r="H31" s="27"/>
      <c r="I31" s="28"/>
      <c r="J31" s="27"/>
      <c r="K31" s="27"/>
      <c r="L31" s="54" t="str">
        <f aca="false">IF(N31=0, "NOT STARTED",IF(N31&gt;D31, "ERROR TO MUCH WORK", IF(N31=D31, "DONE", "NOT ENOUGH WORK YET")))</f>
        <v>NOT ENOUGH WORK YET</v>
      </c>
      <c r="M31" s="54"/>
      <c r="N31" s="3" t="n">
        <f aca="false">SUM(E31:K31)</f>
        <v>0.25</v>
      </c>
      <c r="O31" s="3" t="s">
        <v>50</v>
      </c>
      <c r="P31" s="3" t="n">
        <v>17</v>
      </c>
    </row>
    <row r="32" customFormat="false" ht="14.25" hidden="false" customHeight="true" outlineLevel="0" collapsed="false">
      <c r="B32" s="24" t="n">
        <v>18.1</v>
      </c>
      <c r="C32" s="56" t="s">
        <v>69</v>
      </c>
      <c r="D32" s="25" t="n">
        <v>0.5</v>
      </c>
      <c r="E32" s="30"/>
      <c r="F32" s="27"/>
      <c r="G32" s="27"/>
      <c r="H32" s="27"/>
      <c r="I32" s="28"/>
      <c r="J32" s="27" t="n">
        <v>0.25</v>
      </c>
      <c r="K32" s="27" t="n">
        <v>0.15</v>
      </c>
      <c r="L32" s="54" t="str">
        <f aca="false">IF(N32=0, "NOT STARTED",IF(N32&gt;D32, "ERROR TO MUCH WORK", IF(N32=D32, "DONE", "NOT ENOUGH WORK YET")))</f>
        <v>NOT ENOUGH WORK YET</v>
      </c>
      <c r="M32" s="54"/>
      <c r="N32" s="3" t="n">
        <f aca="false">SUM(E32:K32)</f>
        <v>0.4</v>
      </c>
      <c r="O32" s="3" t="s">
        <v>42</v>
      </c>
      <c r="P32" s="3" t="n">
        <v>18</v>
      </c>
    </row>
    <row r="33" customFormat="false" ht="14.25" hidden="false" customHeight="true" outlineLevel="0" collapsed="false">
      <c r="B33" s="57" t="n">
        <v>18.2</v>
      </c>
      <c r="C33" s="56" t="s">
        <v>70</v>
      </c>
      <c r="D33" s="19" t="n">
        <v>0.5</v>
      </c>
      <c r="E33" s="58"/>
      <c r="F33" s="59"/>
      <c r="G33" s="59"/>
      <c r="H33" s="59"/>
      <c r="I33" s="60"/>
      <c r="J33" s="61" t="n">
        <v>0.15</v>
      </c>
      <c r="K33" s="59" t="n">
        <v>0.15</v>
      </c>
      <c r="L33" s="54" t="str">
        <f aca="false">IF(N33=0, "NOT STARTED",IF(N33&gt;D33, "ERROR TO MUCH WORK", IF(N33=D33, "DONE", "NOT ENOUGH WORK YET")))</f>
        <v>NOT ENOUGH WORK YET</v>
      </c>
      <c r="M33" s="54"/>
      <c r="N33" s="3" t="n">
        <f aca="false">SUM(E33:K33)</f>
        <v>0.3</v>
      </c>
      <c r="O33" s="3" t="s">
        <v>40</v>
      </c>
      <c r="P33" s="3" t="n">
        <v>18</v>
      </c>
    </row>
    <row r="34" customFormat="false" ht="14.25" hidden="false" customHeight="true" outlineLevel="0" collapsed="false">
      <c r="B34" s="24" t="n">
        <v>18.3</v>
      </c>
      <c r="C34" s="56" t="s">
        <v>71</v>
      </c>
      <c r="D34" s="25" t="n">
        <v>0.5</v>
      </c>
      <c r="E34" s="58"/>
      <c r="F34" s="59"/>
      <c r="G34" s="59"/>
      <c r="H34" s="59"/>
      <c r="I34" s="60"/>
      <c r="J34" s="61"/>
      <c r="K34" s="59" t="n">
        <v>0.4</v>
      </c>
      <c r="L34" s="54" t="str">
        <f aca="false">IF(N34=0, "NOT STARTED",IF(N34&gt;D34, "ERROR TO MUCH WORK", IF(N34=D34, "DONE", "NOT ENOUGH WORK YET")))</f>
        <v>NOT ENOUGH WORK YET</v>
      </c>
      <c r="M34" s="54"/>
      <c r="N34" s="3" t="n">
        <f aca="false">SUM(E34:K34)</f>
        <v>0.4</v>
      </c>
      <c r="O34" s="3" t="s">
        <v>45</v>
      </c>
      <c r="P34" s="3" t="n">
        <v>18</v>
      </c>
    </row>
    <row r="35" customFormat="false" ht="14.25" hidden="false" customHeight="true" outlineLevel="0" collapsed="false">
      <c r="B35" s="57" t="n">
        <v>18.4</v>
      </c>
      <c r="C35" s="56" t="s">
        <v>72</v>
      </c>
      <c r="D35" s="25" t="n">
        <v>0.5</v>
      </c>
      <c r="E35" s="58"/>
      <c r="F35" s="59"/>
      <c r="G35" s="59"/>
      <c r="H35" s="59"/>
      <c r="I35" s="60"/>
      <c r="J35" s="61"/>
      <c r="K35" s="59"/>
      <c r="L35" s="54" t="str">
        <f aca="false">IF(N35=0, "NOT STARTED",IF(N35&gt;D35, "ERROR TO MUCH WORK", IF(N35=D35, "DONE", "NOT ENOUGH WORK YET")))</f>
        <v>NOT STARTED</v>
      </c>
      <c r="M35" s="54"/>
      <c r="N35" s="3" t="n">
        <f aca="false">SUM(E35:K35)</f>
        <v>0</v>
      </c>
      <c r="O35" s="3" t="s">
        <v>38</v>
      </c>
      <c r="P35" s="3" t="n">
        <v>18</v>
      </c>
    </row>
    <row r="36" customFormat="false" ht="14.25" hidden="false" customHeight="true" outlineLevel="0" collapsed="false">
      <c r="B36" s="24" t="n">
        <v>18.5</v>
      </c>
      <c r="C36" s="56" t="s">
        <v>73</v>
      </c>
      <c r="D36" s="19" t="n">
        <v>0.5</v>
      </c>
      <c r="E36" s="58"/>
      <c r="F36" s="59"/>
      <c r="G36" s="59"/>
      <c r="H36" s="59"/>
      <c r="I36" s="60"/>
      <c r="J36" s="61"/>
      <c r="K36" s="59"/>
      <c r="L36" s="54" t="str">
        <f aca="false">IF(N36=0, "NOT STARTED",IF(N36&gt;D36, "ERROR TO MUCH WORK", IF(N36=D36, "DONE", "NOT ENOUGH WORK YET")))</f>
        <v>NOT STARTED</v>
      </c>
      <c r="M36" s="54"/>
      <c r="N36" s="3" t="n">
        <f aca="false">SUM(E36:K36)</f>
        <v>0</v>
      </c>
      <c r="O36" s="3" t="s">
        <v>48</v>
      </c>
      <c r="P36" s="3" t="n">
        <v>18</v>
      </c>
    </row>
    <row r="37" customFormat="false" ht="14.25" hidden="false" customHeight="true" outlineLevel="0" collapsed="false">
      <c r="B37" s="57" t="n">
        <v>18.6</v>
      </c>
      <c r="C37" s="56" t="s">
        <v>74</v>
      </c>
      <c r="D37" s="25" t="n">
        <v>0.5</v>
      </c>
      <c r="E37" s="58"/>
      <c r="F37" s="59"/>
      <c r="G37" s="59"/>
      <c r="H37" s="59"/>
      <c r="I37" s="60" t="n">
        <v>0.25</v>
      </c>
      <c r="J37" s="61"/>
      <c r="K37" s="59"/>
      <c r="L37" s="54" t="str">
        <f aca="false">IF(N37=0, "NOT STARTED",IF(N37&gt;D37, "ERROR TO MUCH WORK", IF(N37=D37, "DONE", "NOT ENOUGH WORK YET")))</f>
        <v>NOT ENOUGH WORK YET</v>
      </c>
      <c r="M37" s="54"/>
      <c r="N37" s="3" t="n">
        <f aca="false">SUM(E37:K37)</f>
        <v>0.25</v>
      </c>
      <c r="O37" s="3" t="s">
        <v>50</v>
      </c>
      <c r="P37" s="3" t="n">
        <v>18</v>
      </c>
    </row>
    <row r="38" customFormat="false" ht="14.25" hidden="false" customHeight="true" outlineLevel="0" collapsed="false">
      <c r="B38" s="31" t="s">
        <v>24</v>
      </c>
      <c r="C38" s="31"/>
      <c r="D38" s="32" t="n">
        <v>0</v>
      </c>
      <c r="E38" s="33" t="n">
        <f aca="false">SUM(E6:E32)</f>
        <v>0.6</v>
      </c>
      <c r="F38" s="34" t="n">
        <f aca="false">SUM(F6:F32)</f>
        <v>1.35</v>
      </c>
      <c r="G38" s="34" t="n">
        <f aca="false">SUM(G6:G32)</f>
        <v>0.35</v>
      </c>
      <c r="H38" s="34" t="n">
        <f aca="false">SUM(H6:H32)</f>
        <v>0.7</v>
      </c>
      <c r="I38" s="35" t="n">
        <f aca="false">SUM(I6:I32)</f>
        <v>1.05</v>
      </c>
      <c r="J38" s="36" t="n">
        <f aca="false">SUM(J6:J32)</f>
        <v>2.8</v>
      </c>
      <c r="K38" s="34" t="n">
        <f aca="false">SUM(K6:K32)</f>
        <v>2.4</v>
      </c>
    </row>
    <row r="39" customFormat="false" ht="14.25" hidden="false" customHeight="true" outlineLevel="0" collapsed="false">
      <c r="B39" s="38" t="s">
        <v>25</v>
      </c>
      <c r="C39" s="38"/>
      <c r="D39" s="39" t="n">
        <f aca="false">SUM(D6:D38)</f>
        <v>15.6</v>
      </c>
      <c r="E39" s="40" t="n">
        <f aca="false">D39-SUM(E6:E32)</f>
        <v>15</v>
      </c>
      <c r="F39" s="41" t="n">
        <f aca="false">E39-SUM(F6:F32)</f>
        <v>13.65</v>
      </c>
      <c r="G39" s="41" t="n">
        <f aca="false">F39-SUM(G6:G32)</f>
        <v>13.3</v>
      </c>
      <c r="H39" s="41" t="n">
        <f aca="false">G39-SUM(H6:H32)</f>
        <v>12.6</v>
      </c>
      <c r="I39" s="42" t="n">
        <f aca="false">H39-SUM(I6:I32)</f>
        <v>11.55</v>
      </c>
      <c r="J39" s="43" t="n">
        <f aca="false">I39-SUM(J6:J32)</f>
        <v>8.75</v>
      </c>
      <c r="K39" s="43" t="n">
        <f aca="false">J39-SUM(K6:K32)</f>
        <v>6.35</v>
      </c>
    </row>
    <row r="40" customFormat="false" ht="14.25" hidden="false" customHeight="true" outlineLevel="0" collapsed="false">
      <c r="B40" s="46" t="s">
        <v>26</v>
      </c>
      <c r="C40" s="46"/>
      <c r="D40" s="47" t="n">
        <v>15.6</v>
      </c>
      <c r="E40" s="48" t="n">
        <f aca="false">$D$40-($D$40/7*1)</f>
        <v>13.3714285714286</v>
      </c>
      <c r="F40" s="48" t="n">
        <f aca="false">$D$40-($D$40/7*2)</f>
        <v>11.1428571428571</v>
      </c>
      <c r="G40" s="48" t="n">
        <f aca="false">$D$40-($D$40/7*3)</f>
        <v>8.91428571428572</v>
      </c>
      <c r="H40" s="48" t="n">
        <f aca="false">$D$40-($D$40/7*4)</f>
        <v>6.68571428571429</v>
      </c>
      <c r="I40" s="49" t="n">
        <f aca="false">$D$40-($D$40/7*5)</f>
        <v>4.45714285714286</v>
      </c>
      <c r="J40" s="49" t="n">
        <f aca="false">$D$40-($D$40/7*6)</f>
        <v>2.22857142857143</v>
      </c>
      <c r="K40" s="48" t="n">
        <f aca="false">$D$40-($D$40/7*7)</f>
        <v>0</v>
      </c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9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B38:C38"/>
    <mergeCell ref="B39:C39"/>
    <mergeCell ref="B40:C40"/>
  </mergeCells>
  <conditionalFormatting sqref="L6:L37">
    <cfRule type="cellIs" priority="2" operator="equal" aboveAverage="0" equalAverage="0" bottom="0" percent="0" rank="0" text="" dxfId="0">
      <formula>"DONE"</formula>
    </cfRule>
  </conditionalFormatting>
  <conditionalFormatting sqref="L6:M37">
    <cfRule type="cellIs" priority="3" operator="equal" aboveAverage="0" equalAverage="0" bottom="0" percent="0" rank="0" text="" dxfId="1">
      <formula>"NOT ENOUGH WORK YET"</formula>
    </cfRule>
    <cfRule type="cellIs" priority="4" operator="equal" aboveAverage="0" equalAverage="0" bottom="0" percent="0" rank="0" text="" dxfId="2">
      <formula>"ERROR TO MUCH WORK"</formula>
    </cfRule>
    <cfRule type="cellIs" priority="5" operator="equal" aboveAverage="0" equalAverage="0" bottom="0" percent="0" rank="0" text="" dxfId="3">
      <formula>"NOT STARTED"</formula>
    </cfRule>
  </conditionalFormatting>
  <conditionalFormatting sqref="N8:N37">
    <cfRule type="colorScale" priority="6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8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1" width="7.15"/>
    <col collapsed="false" customWidth="true" hidden="false" outlineLevel="0" max="3" min="3" style="1" width="73.14"/>
    <col collapsed="false" customWidth="true" hidden="false" outlineLevel="0" max="4" min="4" style="1" width="15.72"/>
    <col collapsed="false" customWidth="true" hidden="false" outlineLevel="0" max="13" min="5" style="1" width="10"/>
  </cols>
  <sheetData>
    <row r="1" customFormat="false" ht="14.25" hidden="false" customHeight="true" outlineLevel="0" collapsed="false"/>
    <row r="2" customFormat="false" ht="23.25" hidden="false" customHeight="true" outlineLevel="0" collapsed="false">
      <c r="B2" s="62" t="s">
        <v>75</v>
      </c>
      <c r="C2" s="62"/>
      <c r="D2" s="62"/>
      <c r="E2" s="62"/>
      <c r="F2" s="62"/>
      <c r="G2" s="62"/>
      <c r="H2" s="62"/>
      <c r="I2" s="62"/>
      <c r="J2" s="62"/>
      <c r="K2" s="62"/>
      <c r="M2" s="3"/>
    </row>
    <row r="3" customFormat="false" ht="14.25" hidden="false" customHeight="true" outlineLevel="0" collapsed="false">
      <c r="B3" s="63"/>
      <c r="C3" s="64"/>
      <c r="D3" s="65"/>
      <c r="E3" s="66" t="s">
        <v>76</v>
      </c>
      <c r="F3" s="66"/>
      <c r="G3" s="66"/>
      <c r="H3" s="66"/>
      <c r="I3" s="66"/>
      <c r="J3" s="66"/>
      <c r="K3" s="66"/>
      <c r="L3" s="7"/>
    </row>
    <row r="4" customFormat="false" ht="14.25" hidden="false" customHeight="true" outlineLevel="0" collapsed="false">
      <c r="B4" s="67" t="s">
        <v>2</v>
      </c>
      <c r="C4" s="68" t="s">
        <v>3</v>
      </c>
      <c r="D4" s="69" t="s">
        <v>4</v>
      </c>
      <c r="E4" s="70" t="s">
        <v>77</v>
      </c>
      <c r="F4" s="70" t="s">
        <v>78</v>
      </c>
      <c r="G4" s="70" t="s">
        <v>79</v>
      </c>
      <c r="H4" s="70" t="s">
        <v>80</v>
      </c>
      <c r="I4" s="70" t="s">
        <v>81</v>
      </c>
      <c r="J4" s="70" t="s">
        <v>82</v>
      </c>
      <c r="K4" s="71" t="s">
        <v>83</v>
      </c>
    </row>
    <row r="5" customFormat="false" ht="14.25" hidden="false" customHeight="true" outlineLevel="0" collapsed="false">
      <c r="B5" s="67"/>
      <c r="C5" s="68"/>
      <c r="D5" s="72" t="s">
        <v>5</v>
      </c>
      <c r="E5" s="73" t="s">
        <v>6</v>
      </c>
      <c r="F5" s="73" t="s">
        <v>7</v>
      </c>
      <c r="G5" s="73" t="s">
        <v>8</v>
      </c>
      <c r="H5" s="73" t="s">
        <v>9</v>
      </c>
      <c r="I5" s="73" t="s">
        <v>10</v>
      </c>
      <c r="J5" s="73" t="s">
        <v>11</v>
      </c>
      <c r="K5" s="74" t="s">
        <v>12</v>
      </c>
    </row>
    <row r="6" customFormat="false" ht="14.25" hidden="false" customHeight="true" outlineLevel="0" collapsed="false">
      <c r="A6" s="3" t="s">
        <v>84</v>
      </c>
      <c r="B6" s="75" t="n">
        <v>14.1</v>
      </c>
      <c r="C6" s="76" t="s">
        <v>85</v>
      </c>
      <c r="D6" s="77" t="n">
        <v>0.05</v>
      </c>
      <c r="E6" s="78" t="n">
        <v>0.05</v>
      </c>
      <c r="F6" s="79"/>
      <c r="G6" s="79"/>
      <c r="H6" s="79"/>
      <c r="I6" s="79"/>
      <c r="J6" s="79"/>
      <c r="K6" s="79"/>
      <c r="L6" s="80" t="s">
        <v>86</v>
      </c>
      <c r="M6" s="80"/>
      <c r="N6" s="81" t="n">
        <v>0.05</v>
      </c>
      <c r="O6" s="82" t="s">
        <v>42</v>
      </c>
      <c r="P6" s="83" t="n">
        <v>14</v>
      </c>
    </row>
    <row r="7" customFormat="false" ht="14.25" hidden="false" customHeight="true" outlineLevel="0" collapsed="false">
      <c r="B7" s="75" t="n">
        <v>14.5</v>
      </c>
      <c r="C7" s="76" t="s">
        <v>47</v>
      </c>
      <c r="D7" s="84" t="n">
        <v>0.25</v>
      </c>
      <c r="E7" s="78" t="n">
        <v>0.25</v>
      </c>
      <c r="F7" s="79"/>
      <c r="G7" s="79"/>
      <c r="H7" s="79"/>
      <c r="I7" s="79"/>
      <c r="J7" s="79"/>
      <c r="K7" s="79"/>
      <c r="L7" s="80" t="s">
        <v>86</v>
      </c>
      <c r="M7" s="80"/>
      <c r="N7" s="85" t="n">
        <v>0.25</v>
      </c>
      <c r="O7" s="82" t="s">
        <v>48</v>
      </c>
      <c r="P7" s="83" t="n">
        <v>14</v>
      </c>
    </row>
    <row r="8" customFormat="false" ht="14.25" hidden="false" customHeight="true" outlineLevel="0" collapsed="false">
      <c r="B8" s="75" t="n">
        <v>14.6</v>
      </c>
      <c r="C8" s="76" t="s">
        <v>49</v>
      </c>
      <c r="D8" s="84" t="n">
        <v>0.1</v>
      </c>
      <c r="E8" s="78" t="n">
        <v>0.1</v>
      </c>
      <c r="F8" s="79"/>
      <c r="G8" s="79"/>
      <c r="H8" s="79"/>
      <c r="I8" s="79"/>
      <c r="J8" s="79"/>
      <c r="K8" s="79"/>
      <c r="L8" s="80" t="s">
        <v>86</v>
      </c>
      <c r="M8" s="80"/>
      <c r="N8" s="86" t="n">
        <v>0.1</v>
      </c>
      <c r="O8" s="82" t="s">
        <v>50</v>
      </c>
      <c r="P8" s="83" t="n">
        <v>14</v>
      </c>
    </row>
    <row r="9" customFormat="false" ht="14.25" hidden="false" customHeight="true" outlineLevel="0" collapsed="false">
      <c r="B9" s="75" t="n">
        <v>15.1</v>
      </c>
      <c r="C9" s="87" t="s">
        <v>51</v>
      </c>
      <c r="D9" s="77" t="n">
        <v>0.3</v>
      </c>
      <c r="E9" s="78" t="n">
        <v>0.3</v>
      </c>
      <c r="F9" s="79"/>
      <c r="G9" s="79"/>
      <c r="H9" s="79"/>
      <c r="I9" s="79"/>
      <c r="J9" s="79"/>
      <c r="K9" s="79"/>
      <c r="L9" s="80" t="s">
        <v>86</v>
      </c>
      <c r="M9" s="80"/>
      <c r="N9" s="88" t="n">
        <v>0.3</v>
      </c>
      <c r="O9" s="82" t="s">
        <v>42</v>
      </c>
      <c r="P9" s="83" t="n">
        <v>15</v>
      </c>
    </row>
    <row r="10" customFormat="false" ht="14.25" hidden="false" customHeight="true" outlineLevel="0" collapsed="false">
      <c r="B10" s="75" t="n">
        <v>15.2</v>
      </c>
      <c r="C10" s="87" t="s">
        <v>52</v>
      </c>
      <c r="D10" s="84" t="n">
        <v>0.05</v>
      </c>
      <c r="E10" s="78" t="n">
        <v>0.05</v>
      </c>
      <c r="F10" s="79"/>
      <c r="G10" s="79"/>
      <c r="H10" s="79"/>
      <c r="I10" s="79"/>
      <c r="J10" s="79"/>
      <c r="K10" s="79"/>
      <c r="L10" s="80" t="s">
        <v>86</v>
      </c>
      <c r="M10" s="80"/>
      <c r="N10" s="81" t="n">
        <v>0.05</v>
      </c>
      <c r="O10" s="82" t="s">
        <v>40</v>
      </c>
      <c r="P10" s="83" t="n">
        <v>15</v>
      </c>
    </row>
    <row r="11" customFormat="false" ht="14.25" hidden="false" customHeight="true" outlineLevel="0" collapsed="false">
      <c r="B11" s="75" t="n">
        <v>15.3</v>
      </c>
      <c r="C11" s="87" t="s">
        <v>53</v>
      </c>
      <c r="D11" s="84" t="n">
        <v>0.2</v>
      </c>
      <c r="E11" s="78" t="n">
        <v>0.2</v>
      </c>
      <c r="F11" s="79"/>
      <c r="G11" s="79"/>
      <c r="H11" s="79"/>
      <c r="I11" s="79"/>
      <c r="J11" s="79"/>
      <c r="K11" s="79"/>
      <c r="L11" s="80" t="s">
        <v>86</v>
      </c>
      <c r="M11" s="80"/>
      <c r="N11" s="89" t="n">
        <v>0.2</v>
      </c>
      <c r="O11" s="82" t="s">
        <v>45</v>
      </c>
      <c r="P11" s="83" t="n">
        <v>15</v>
      </c>
    </row>
    <row r="12" customFormat="false" ht="14.25" hidden="false" customHeight="true" outlineLevel="0" collapsed="false">
      <c r="B12" s="75" t="n">
        <v>15.4</v>
      </c>
      <c r="C12" s="87" t="s">
        <v>54</v>
      </c>
      <c r="D12" s="77" t="n">
        <v>0.4</v>
      </c>
      <c r="E12" s="78" t="n">
        <v>0.4</v>
      </c>
      <c r="F12" s="79"/>
      <c r="G12" s="79"/>
      <c r="H12" s="79"/>
      <c r="I12" s="79"/>
      <c r="J12" s="79"/>
      <c r="K12" s="79"/>
      <c r="L12" s="80" t="s">
        <v>86</v>
      </c>
      <c r="M12" s="80"/>
      <c r="N12" s="90" t="n">
        <v>0.4</v>
      </c>
      <c r="O12" s="82" t="s">
        <v>38</v>
      </c>
      <c r="P12" s="83" t="n">
        <v>15</v>
      </c>
    </row>
    <row r="13" customFormat="false" ht="14.25" hidden="false" customHeight="true" outlineLevel="0" collapsed="false">
      <c r="B13" s="75" t="n">
        <v>15.5</v>
      </c>
      <c r="C13" s="87" t="s">
        <v>55</v>
      </c>
      <c r="D13" s="84" t="n">
        <v>0.5</v>
      </c>
      <c r="E13" s="78" t="n">
        <v>0.15</v>
      </c>
      <c r="F13" s="78" t="n">
        <v>0.35</v>
      </c>
      <c r="G13" s="79"/>
      <c r="H13" s="79"/>
      <c r="I13" s="79"/>
      <c r="J13" s="79"/>
      <c r="K13" s="79"/>
      <c r="L13" s="80" t="s">
        <v>86</v>
      </c>
      <c r="M13" s="80"/>
      <c r="N13" s="91" t="n">
        <v>0.5</v>
      </c>
      <c r="O13" s="82" t="s">
        <v>48</v>
      </c>
      <c r="P13" s="83" t="n">
        <v>15</v>
      </c>
    </row>
    <row r="14" customFormat="false" ht="14.25" hidden="false" customHeight="true" outlineLevel="0" collapsed="false">
      <c r="B14" s="75" t="n">
        <v>15.6</v>
      </c>
      <c r="C14" s="87" t="s">
        <v>56</v>
      </c>
      <c r="D14" s="84" t="n">
        <v>0.15</v>
      </c>
      <c r="E14" s="78" t="n">
        <v>0.15</v>
      </c>
      <c r="F14" s="79"/>
      <c r="G14" s="79"/>
      <c r="H14" s="79"/>
      <c r="I14" s="79"/>
      <c r="J14" s="79"/>
      <c r="K14" s="79"/>
      <c r="L14" s="80" t="s">
        <v>86</v>
      </c>
      <c r="M14" s="80"/>
      <c r="N14" s="92" t="n">
        <v>0.15</v>
      </c>
      <c r="O14" s="82" t="s">
        <v>50</v>
      </c>
      <c r="P14" s="83" t="n">
        <v>15</v>
      </c>
    </row>
    <row r="15" customFormat="false" ht="14.25" hidden="false" customHeight="true" outlineLevel="0" collapsed="false">
      <c r="B15" s="75" t="n">
        <v>16.4</v>
      </c>
      <c r="C15" s="76" t="s">
        <v>87</v>
      </c>
      <c r="D15" s="77" t="n">
        <v>0.25</v>
      </c>
      <c r="E15" s="78" t="n">
        <v>0.2</v>
      </c>
      <c r="F15" s="78" t="n">
        <v>0.05</v>
      </c>
      <c r="G15" s="79"/>
      <c r="H15" s="79"/>
      <c r="I15" s="79"/>
      <c r="J15" s="79"/>
      <c r="K15" s="79"/>
      <c r="L15" s="80" t="s">
        <v>86</v>
      </c>
      <c r="M15" s="80"/>
      <c r="N15" s="85" t="n">
        <v>0.25</v>
      </c>
      <c r="O15" s="82" t="s">
        <v>38</v>
      </c>
      <c r="P15" s="83" t="n">
        <v>16</v>
      </c>
    </row>
    <row r="16" customFormat="false" ht="14.25" hidden="false" customHeight="true" outlineLevel="0" collapsed="false">
      <c r="B16" s="75" t="n">
        <v>16.5</v>
      </c>
      <c r="C16" s="76" t="s">
        <v>88</v>
      </c>
      <c r="D16" s="84" t="n">
        <v>0.5</v>
      </c>
      <c r="E16" s="78" t="n">
        <v>0.1</v>
      </c>
      <c r="F16" s="78" t="n">
        <v>0.3</v>
      </c>
      <c r="G16" s="78" t="n">
        <v>0.05</v>
      </c>
      <c r="H16" s="78" t="n">
        <v>0.05</v>
      </c>
      <c r="I16" s="79"/>
      <c r="J16" s="79"/>
      <c r="K16" s="79"/>
      <c r="L16" s="80" t="s">
        <v>86</v>
      </c>
      <c r="M16" s="80"/>
      <c r="N16" s="91" t="n">
        <v>0.5</v>
      </c>
      <c r="O16" s="82" t="s">
        <v>48</v>
      </c>
      <c r="P16" s="83" t="n">
        <v>16</v>
      </c>
    </row>
    <row r="17" customFormat="false" ht="14.25" hidden="false" customHeight="true" outlineLevel="0" collapsed="false">
      <c r="B17" s="75" t="n">
        <v>16.6</v>
      </c>
      <c r="C17" s="76" t="s">
        <v>89</v>
      </c>
      <c r="D17" s="84" t="n">
        <v>0.25</v>
      </c>
      <c r="E17" s="78" t="n">
        <v>0.1</v>
      </c>
      <c r="F17" s="78" t="n">
        <v>0.15</v>
      </c>
      <c r="G17" s="79"/>
      <c r="H17" s="79"/>
      <c r="I17" s="79"/>
      <c r="J17" s="79"/>
      <c r="K17" s="79"/>
      <c r="L17" s="80" t="s">
        <v>86</v>
      </c>
      <c r="M17" s="80"/>
      <c r="N17" s="85" t="n">
        <v>0.25</v>
      </c>
      <c r="O17" s="82" t="s">
        <v>50</v>
      </c>
      <c r="P17" s="83" t="n">
        <v>16</v>
      </c>
    </row>
    <row r="18" customFormat="false" ht="14.25" hidden="false" customHeight="true" outlineLevel="0" collapsed="false">
      <c r="B18" s="75" t="n">
        <v>17.4</v>
      </c>
      <c r="C18" s="87" t="s">
        <v>66</v>
      </c>
      <c r="D18" s="77" t="n">
        <v>0.3</v>
      </c>
      <c r="E18" s="78" t="n">
        <v>0.2</v>
      </c>
      <c r="F18" s="78" t="n">
        <v>0.1</v>
      </c>
      <c r="G18" s="79"/>
      <c r="H18" s="79"/>
      <c r="I18" s="79"/>
      <c r="J18" s="79"/>
      <c r="K18" s="79"/>
      <c r="L18" s="80" t="s">
        <v>86</v>
      </c>
      <c r="M18" s="80"/>
      <c r="N18" s="88" t="n">
        <v>0.3</v>
      </c>
      <c r="O18" s="82" t="s">
        <v>38</v>
      </c>
      <c r="P18" s="83" t="n">
        <v>17</v>
      </c>
    </row>
    <row r="19" customFormat="false" ht="14.25" hidden="false" customHeight="true" outlineLevel="0" collapsed="false">
      <c r="B19" s="75" t="n">
        <v>17.5</v>
      </c>
      <c r="C19" s="87" t="s">
        <v>67</v>
      </c>
      <c r="D19" s="84" t="n">
        <v>0.5</v>
      </c>
      <c r="E19" s="78" t="n">
        <v>0.05</v>
      </c>
      <c r="F19" s="78" t="n">
        <v>0.15</v>
      </c>
      <c r="G19" s="78" t="n">
        <v>0.25</v>
      </c>
      <c r="H19" s="78" t="n">
        <v>0.05</v>
      </c>
      <c r="I19" s="79"/>
      <c r="J19" s="79"/>
      <c r="K19" s="79"/>
      <c r="L19" s="80" t="s">
        <v>86</v>
      </c>
      <c r="M19" s="80"/>
      <c r="N19" s="91" t="n">
        <v>0.5</v>
      </c>
      <c r="O19" s="82" t="s">
        <v>48</v>
      </c>
      <c r="P19" s="83" t="n">
        <v>17</v>
      </c>
    </row>
    <row r="20" customFormat="false" ht="14.25" hidden="false" customHeight="true" outlineLevel="0" collapsed="false">
      <c r="B20" s="75" t="n">
        <v>17.6</v>
      </c>
      <c r="C20" s="87" t="s">
        <v>68</v>
      </c>
      <c r="D20" s="84" t="n">
        <v>0.25</v>
      </c>
      <c r="E20" s="78" t="n">
        <v>0.05</v>
      </c>
      <c r="F20" s="78" t="n">
        <v>0.1</v>
      </c>
      <c r="G20" s="78" t="n">
        <v>0.1</v>
      </c>
      <c r="H20" s="79"/>
      <c r="I20" s="79"/>
      <c r="J20" s="79"/>
      <c r="K20" s="79"/>
      <c r="L20" s="80" t="s">
        <v>86</v>
      </c>
      <c r="M20" s="80"/>
      <c r="N20" s="85" t="n">
        <v>0.25</v>
      </c>
      <c r="O20" s="82" t="s">
        <v>50</v>
      </c>
      <c r="P20" s="83" t="n">
        <v>17</v>
      </c>
    </row>
    <row r="21" customFormat="false" ht="14.25" hidden="false" customHeight="true" outlineLevel="0" collapsed="false">
      <c r="B21" s="75" t="n">
        <v>18.1</v>
      </c>
      <c r="C21" s="76" t="s">
        <v>69</v>
      </c>
      <c r="D21" s="77" t="n">
        <v>0.1</v>
      </c>
      <c r="E21" s="78" t="n">
        <v>0.05</v>
      </c>
      <c r="F21" s="78" t="n">
        <v>0.05</v>
      </c>
      <c r="G21" s="79"/>
      <c r="H21" s="79"/>
      <c r="I21" s="79"/>
      <c r="J21" s="79"/>
      <c r="K21" s="79"/>
      <c r="L21" s="80" t="s">
        <v>86</v>
      </c>
      <c r="M21" s="80"/>
      <c r="N21" s="86" t="n">
        <v>0.1</v>
      </c>
      <c r="O21" s="82" t="s">
        <v>42</v>
      </c>
      <c r="P21" s="83" t="n">
        <v>18</v>
      </c>
    </row>
    <row r="22" customFormat="false" ht="14.25" hidden="false" customHeight="true" outlineLevel="0" collapsed="false">
      <c r="B22" s="93" t="n">
        <v>18.2</v>
      </c>
      <c r="C22" s="76" t="s">
        <v>70</v>
      </c>
      <c r="D22" s="84" t="n">
        <v>0.2</v>
      </c>
      <c r="E22" s="78" t="n">
        <v>0.2</v>
      </c>
      <c r="F22" s="79"/>
      <c r="G22" s="79"/>
      <c r="H22" s="79"/>
      <c r="I22" s="79"/>
      <c r="J22" s="79"/>
      <c r="K22" s="79"/>
      <c r="L22" s="80" t="s">
        <v>86</v>
      </c>
      <c r="M22" s="80"/>
      <c r="N22" s="89" t="n">
        <v>0.2</v>
      </c>
      <c r="O22" s="82" t="s">
        <v>40</v>
      </c>
      <c r="P22" s="83" t="n">
        <v>18</v>
      </c>
    </row>
    <row r="23" customFormat="false" ht="14.25" hidden="false" customHeight="true" outlineLevel="0" collapsed="false">
      <c r="B23" s="75" t="n">
        <v>18.3</v>
      </c>
      <c r="C23" s="76" t="s">
        <v>71</v>
      </c>
      <c r="D23" s="84" t="n">
        <v>0.1</v>
      </c>
      <c r="E23" s="78" t="n">
        <v>0.1</v>
      </c>
      <c r="F23" s="79"/>
      <c r="G23" s="79"/>
      <c r="H23" s="79"/>
      <c r="I23" s="79"/>
      <c r="J23" s="79"/>
      <c r="K23" s="79"/>
      <c r="L23" s="80" t="s">
        <v>86</v>
      </c>
      <c r="M23" s="80"/>
      <c r="N23" s="86" t="n">
        <v>0.1</v>
      </c>
      <c r="O23" s="82" t="s">
        <v>45</v>
      </c>
      <c r="P23" s="83" t="n">
        <v>18</v>
      </c>
    </row>
    <row r="24" customFormat="false" ht="14.25" hidden="false" customHeight="true" outlineLevel="0" collapsed="false">
      <c r="B24" s="93" t="n">
        <v>18.4</v>
      </c>
      <c r="C24" s="76" t="s">
        <v>72</v>
      </c>
      <c r="D24" s="77" t="n">
        <v>0.5</v>
      </c>
      <c r="E24" s="78" t="n">
        <v>0.25</v>
      </c>
      <c r="F24" s="78" t="n">
        <v>0.25</v>
      </c>
      <c r="G24" s="79"/>
      <c r="H24" s="79"/>
      <c r="I24" s="79"/>
      <c r="J24" s="79"/>
      <c r="K24" s="79"/>
      <c r="L24" s="80" t="s">
        <v>86</v>
      </c>
      <c r="M24" s="80"/>
      <c r="N24" s="91" t="n">
        <v>0.5</v>
      </c>
      <c r="O24" s="82" t="s">
        <v>38</v>
      </c>
      <c r="P24" s="83" t="n">
        <v>18</v>
      </c>
    </row>
    <row r="25" customFormat="false" ht="14.25" hidden="false" customHeight="true" outlineLevel="0" collapsed="false">
      <c r="B25" s="75" t="n">
        <v>18.5</v>
      </c>
      <c r="C25" s="76" t="s">
        <v>73</v>
      </c>
      <c r="D25" s="84" t="n">
        <v>0.5</v>
      </c>
      <c r="E25" s="78" t="n">
        <v>0</v>
      </c>
      <c r="F25" s="78" t="n">
        <v>0.1</v>
      </c>
      <c r="G25" s="78" t="n">
        <v>0.35</v>
      </c>
      <c r="H25" s="78" t="n">
        <v>0.05</v>
      </c>
      <c r="I25" s="79"/>
      <c r="J25" s="79"/>
      <c r="K25" s="79"/>
      <c r="L25" s="80" t="s">
        <v>86</v>
      </c>
      <c r="M25" s="80"/>
      <c r="N25" s="91" t="n">
        <v>0.5</v>
      </c>
      <c r="O25" s="82" t="s">
        <v>48</v>
      </c>
      <c r="P25" s="83" t="n">
        <v>18</v>
      </c>
    </row>
    <row r="26" customFormat="false" ht="14.25" hidden="false" customHeight="true" outlineLevel="0" collapsed="false">
      <c r="B26" s="93" t="n">
        <v>18.6</v>
      </c>
      <c r="C26" s="76" t="s">
        <v>74</v>
      </c>
      <c r="D26" s="84" t="n">
        <v>0.25</v>
      </c>
      <c r="E26" s="78" t="n">
        <v>0.1</v>
      </c>
      <c r="F26" s="78" t="n">
        <v>0.05</v>
      </c>
      <c r="G26" s="78" t="n">
        <v>0.1</v>
      </c>
      <c r="H26" s="79"/>
      <c r="I26" s="79"/>
      <c r="J26" s="79"/>
      <c r="K26" s="79"/>
      <c r="L26" s="80" t="s">
        <v>86</v>
      </c>
      <c r="M26" s="80"/>
      <c r="N26" s="85" t="n">
        <v>0.25</v>
      </c>
      <c r="O26" s="82" t="s">
        <v>50</v>
      </c>
      <c r="P26" s="83" t="n">
        <v>18</v>
      </c>
    </row>
    <row r="27" customFormat="false" ht="14.25" hidden="false" customHeight="true" outlineLevel="0" collapsed="false">
      <c r="B27" s="93" t="n">
        <v>19.1</v>
      </c>
      <c r="C27" s="87" t="s">
        <v>90</v>
      </c>
      <c r="D27" s="84" t="n">
        <v>0.5</v>
      </c>
      <c r="E27" s="79"/>
      <c r="F27" s="79"/>
      <c r="G27" s="79"/>
      <c r="H27" s="79"/>
      <c r="I27" s="79"/>
      <c r="J27" s="78" t="n">
        <v>0.5</v>
      </c>
      <c r="K27" s="79"/>
      <c r="L27" s="80" t="s">
        <v>86</v>
      </c>
      <c r="M27" s="80"/>
      <c r="N27" s="91" t="n">
        <v>0.5</v>
      </c>
      <c r="O27" s="82" t="s">
        <v>42</v>
      </c>
      <c r="P27" s="83" t="n">
        <v>19</v>
      </c>
    </row>
    <row r="28" customFormat="false" ht="14.25" hidden="false" customHeight="true" outlineLevel="0" collapsed="false">
      <c r="B28" s="93" t="n">
        <v>19.2</v>
      </c>
      <c r="C28" s="87" t="s">
        <v>91</v>
      </c>
      <c r="D28" s="84" t="n">
        <v>0.5</v>
      </c>
      <c r="E28" s="79"/>
      <c r="F28" s="79"/>
      <c r="G28" s="79"/>
      <c r="H28" s="79"/>
      <c r="I28" s="78" t="n">
        <v>0.25</v>
      </c>
      <c r="J28" s="78" t="n">
        <v>0.25</v>
      </c>
      <c r="K28" s="79"/>
      <c r="L28" s="80" t="s">
        <v>86</v>
      </c>
      <c r="M28" s="80"/>
      <c r="N28" s="91" t="n">
        <v>0.5</v>
      </c>
      <c r="O28" s="82" t="s">
        <v>40</v>
      </c>
      <c r="P28" s="83" t="n">
        <v>19</v>
      </c>
    </row>
    <row r="29" customFormat="false" ht="14.25" hidden="false" customHeight="true" outlineLevel="0" collapsed="false">
      <c r="B29" s="93" t="n">
        <v>19.3</v>
      </c>
      <c r="C29" s="87" t="s">
        <v>92</v>
      </c>
      <c r="D29" s="84" t="n">
        <v>0.5</v>
      </c>
      <c r="E29" s="79"/>
      <c r="F29" s="79"/>
      <c r="G29" s="79"/>
      <c r="H29" s="79"/>
      <c r="I29" s="78" t="n">
        <v>0.25</v>
      </c>
      <c r="J29" s="78" t="n">
        <v>0.25</v>
      </c>
      <c r="K29" s="79"/>
      <c r="L29" s="80" t="s">
        <v>86</v>
      </c>
      <c r="M29" s="80"/>
      <c r="N29" s="91" t="n">
        <v>0.5</v>
      </c>
      <c r="O29" s="82" t="s">
        <v>45</v>
      </c>
      <c r="P29" s="83" t="n">
        <v>19</v>
      </c>
    </row>
    <row r="30" customFormat="false" ht="14.25" hidden="false" customHeight="true" outlineLevel="0" collapsed="false">
      <c r="B30" s="93" t="n">
        <v>19.4</v>
      </c>
      <c r="C30" s="87" t="s">
        <v>93</v>
      </c>
      <c r="D30" s="84" t="n">
        <v>0.5</v>
      </c>
      <c r="E30" s="79"/>
      <c r="F30" s="79"/>
      <c r="G30" s="79"/>
      <c r="H30" s="79"/>
      <c r="I30" s="79"/>
      <c r="J30" s="78" t="n">
        <v>0.5</v>
      </c>
      <c r="K30" s="79"/>
      <c r="L30" s="80" t="s">
        <v>86</v>
      </c>
      <c r="M30" s="80"/>
      <c r="N30" s="91" t="n">
        <v>0.5</v>
      </c>
      <c r="O30" s="82" t="s">
        <v>38</v>
      </c>
      <c r="P30" s="83" t="n">
        <v>19</v>
      </c>
    </row>
    <row r="31" customFormat="false" ht="14.25" hidden="false" customHeight="true" outlineLevel="0" collapsed="false">
      <c r="B31" s="93" t="n">
        <v>19.5</v>
      </c>
      <c r="C31" s="87" t="s">
        <v>94</v>
      </c>
      <c r="D31" s="84" t="n">
        <v>0.5</v>
      </c>
      <c r="E31" s="79"/>
      <c r="F31" s="79"/>
      <c r="G31" s="79"/>
      <c r="H31" s="79"/>
      <c r="I31" s="79"/>
      <c r="J31" s="78" t="n">
        <v>0.5</v>
      </c>
      <c r="K31" s="79"/>
      <c r="L31" s="80" t="s">
        <v>86</v>
      </c>
      <c r="M31" s="80"/>
      <c r="N31" s="91" t="n">
        <v>0.5</v>
      </c>
      <c r="O31" s="82" t="s">
        <v>48</v>
      </c>
      <c r="P31" s="83" t="n">
        <v>19</v>
      </c>
    </row>
    <row r="32" customFormat="false" ht="14.25" hidden="false" customHeight="true" outlineLevel="0" collapsed="false">
      <c r="B32" s="93" t="n">
        <v>19.6</v>
      </c>
      <c r="C32" s="87" t="s">
        <v>95</v>
      </c>
      <c r="D32" s="84" t="n">
        <v>0.5</v>
      </c>
      <c r="E32" s="79"/>
      <c r="F32" s="79"/>
      <c r="G32" s="79"/>
      <c r="H32" s="79"/>
      <c r="I32" s="79"/>
      <c r="J32" s="78" t="n">
        <v>0.5</v>
      </c>
      <c r="K32" s="79"/>
      <c r="L32" s="80" t="s">
        <v>86</v>
      </c>
      <c r="M32" s="80"/>
      <c r="N32" s="91" t="n">
        <v>0.5</v>
      </c>
      <c r="O32" s="82" t="s">
        <v>50</v>
      </c>
      <c r="P32" s="83" t="n">
        <v>19</v>
      </c>
    </row>
    <row r="33" customFormat="false" ht="14.25" hidden="false" customHeight="true" outlineLevel="0" collapsed="false">
      <c r="B33" s="93" t="n">
        <v>20.1</v>
      </c>
      <c r="C33" s="76" t="s">
        <v>96</v>
      </c>
      <c r="D33" s="84" t="n">
        <v>0.5</v>
      </c>
      <c r="E33" s="79"/>
      <c r="F33" s="79"/>
      <c r="G33" s="79"/>
      <c r="H33" s="79"/>
      <c r="I33" s="79"/>
      <c r="J33" s="78" t="n">
        <v>0.5</v>
      </c>
      <c r="K33" s="79"/>
      <c r="L33" s="80" t="s">
        <v>86</v>
      </c>
      <c r="M33" s="80"/>
      <c r="N33" s="91" t="n">
        <v>0.5</v>
      </c>
      <c r="O33" s="82" t="s">
        <v>42</v>
      </c>
      <c r="P33" s="83" t="n">
        <v>20</v>
      </c>
    </row>
    <row r="34" customFormat="false" ht="14.25" hidden="false" customHeight="true" outlineLevel="0" collapsed="false">
      <c r="B34" s="93" t="n">
        <v>20.2</v>
      </c>
      <c r="C34" s="76" t="s">
        <v>97</v>
      </c>
      <c r="D34" s="84" t="n">
        <v>0.5</v>
      </c>
      <c r="E34" s="79"/>
      <c r="F34" s="79"/>
      <c r="G34" s="79"/>
      <c r="H34" s="79"/>
      <c r="I34" s="79"/>
      <c r="J34" s="78" t="n">
        <v>0.5</v>
      </c>
      <c r="K34" s="79"/>
      <c r="L34" s="80" t="s">
        <v>86</v>
      </c>
      <c r="M34" s="80"/>
      <c r="N34" s="91" t="n">
        <v>0.5</v>
      </c>
      <c r="O34" s="82" t="s">
        <v>40</v>
      </c>
      <c r="P34" s="83" t="n">
        <v>20</v>
      </c>
    </row>
    <row r="35" customFormat="false" ht="14.25" hidden="false" customHeight="true" outlineLevel="0" collapsed="false">
      <c r="B35" s="93" t="n">
        <v>20.3</v>
      </c>
      <c r="C35" s="76" t="s">
        <v>98</v>
      </c>
      <c r="D35" s="84" t="n">
        <v>0.5</v>
      </c>
      <c r="E35" s="79"/>
      <c r="F35" s="79"/>
      <c r="G35" s="79"/>
      <c r="H35" s="79"/>
      <c r="I35" s="79"/>
      <c r="J35" s="78" t="n">
        <v>0.5</v>
      </c>
      <c r="K35" s="79"/>
      <c r="L35" s="80" t="s">
        <v>86</v>
      </c>
      <c r="M35" s="80"/>
      <c r="N35" s="91" t="n">
        <v>0.5</v>
      </c>
      <c r="O35" s="82" t="s">
        <v>45</v>
      </c>
      <c r="P35" s="83" t="n">
        <v>20</v>
      </c>
    </row>
    <row r="36" customFormat="false" ht="14.25" hidden="false" customHeight="true" outlineLevel="0" collapsed="false">
      <c r="B36" s="93" t="n">
        <v>20.4</v>
      </c>
      <c r="C36" s="76" t="s">
        <v>99</v>
      </c>
      <c r="D36" s="84" t="n">
        <v>0.5</v>
      </c>
      <c r="E36" s="79"/>
      <c r="F36" s="79"/>
      <c r="G36" s="79"/>
      <c r="H36" s="79"/>
      <c r="I36" s="79"/>
      <c r="J36" s="78" t="n">
        <v>0.5</v>
      </c>
      <c r="K36" s="79"/>
      <c r="L36" s="80" t="s">
        <v>86</v>
      </c>
      <c r="M36" s="80"/>
      <c r="N36" s="91" t="n">
        <v>0.5</v>
      </c>
      <c r="O36" s="82" t="s">
        <v>38</v>
      </c>
      <c r="P36" s="83" t="n">
        <v>20</v>
      </c>
    </row>
    <row r="37" customFormat="false" ht="14.25" hidden="false" customHeight="true" outlineLevel="0" collapsed="false">
      <c r="B37" s="93" t="n">
        <v>20.5</v>
      </c>
      <c r="C37" s="76" t="s">
        <v>100</v>
      </c>
      <c r="D37" s="84" t="n">
        <v>0.5</v>
      </c>
      <c r="E37" s="79"/>
      <c r="F37" s="79"/>
      <c r="G37" s="79"/>
      <c r="H37" s="79"/>
      <c r="I37" s="79"/>
      <c r="J37" s="78" t="n">
        <v>0.5</v>
      </c>
      <c r="K37" s="79"/>
      <c r="L37" s="80" t="s">
        <v>86</v>
      </c>
      <c r="M37" s="80"/>
      <c r="N37" s="91" t="n">
        <v>0.5</v>
      </c>
      <c r="O37" s="82" t="s">
        <v>48</v>
      </c>
      <c r="P37" s="83" t="n">
        <v>20</v>
      </c>
    </row>
    <row r="38" customFormat="false" ht="14.25" hidden="false" customHeight="true" outlineLevel="0" collapsed="false">
      <c r="B38" s="93" t="n">
        <v>20.6</v>
      </c>
      <c r="C38" s="76" t="s">
        <v>101</v>
      </c>
      <c r="D38" s="84" t="n">
        <v>0.5</v>
      </c>
      <c r="E38" s="79"/>
      <c r="F38" s="79"/>
      <c r="G38" s="79"/>
      <c r="H38" s="79"/>
      <c r="I38" s="79"/>
      <c r="J38" s="78" t="n">
        <v>0.5</v>
      </c>
      <c r="K38" s="79"/>
      <c r="L38" s="80" t="s">
        <v>86</v>
      </c>
      <c r="M38" s="80"/>
      <c r="N38" s="91" t="n">
        <v>0.5</v>
      </c>
      <c r="O38" s="82" t="s">
        <v>50</v>
      </c>
      <c r="P38" s="83" t="n">
        <v>20</v>
      </c>
    </row>
    <row r="39" customFormat="false" ht="14.25" hidden="false" customHeight="true" outlineLevel="0" collapsed="false">
      <c r="B39" s="93" t="n">
        <v>21.1</v>
      </c>
      <c r="C39" s="87" t="s">
        <v>102</v>
      </c>
      <c r="D39" s="84" t="n">
        <v>0.5</v>
      </c>
      <c r="E39" s="79"/>
      <c r="F39" s="79"/>
      <c r="G39" s="79"/>
      <c r="H39" s="78" t="n">
        <v>0.5</v>
      </c>
      <c r="I39" s="79"/>
      <c r="J39" s="79"/>
      <c r="K39" s="79"/>
      <c r="L39" s="80" t="s">
        <v>86</v>
      </c>
      <c r="M39" s="80"/>
      <c r="N39" s="91" t="n">
        <v>0.5</v>
      </c>
      <c r="O39" s="82" t="s">
        <v>42</v>
      </c>
      <c r="P39" s="83" t="n">
        <v>21</v>
      </c>
    </row>
    <row r="40" customFormat="false" ht="14.25" hidden="false" customHeight="true" outlineLevel="0" collapsed="false">
      <c r="B40" s="93" t="n">
        <v>21.2</v>
      </c>
      <c r="C40" s="87" t="s">
        <v>103</v>
      </c>
      <c r="D40" s="84" t="n">
        <v>0.5</v>
      </c>
      <c r="E40" s="79"/>
      <c r="F40" s="79"/>
      <c r="G40" s="78" t="n">
        <v>0.25</v>
      </c>
      <c r="H40" s="78" t="n">
        <v>0.25</v>
      </c>
      <c r="I40" s="79"/>
      <c r="J40" s="79"/>
      <c r="K40" s="79"/>
      <c r="L40" s="80" t="s">
        <v>86</v>
      </c>
      <c r="M40" s="80"/>
      <c r="N40" s="91" t="n">
        <v>0.5</v>
      </c>
      <c r="O40" s="82" t="s">
        <v>40</v>
      </c>
      <c r="P40" s="83" t="n">
        <v>21</v>
      </c>
    </row>
    <row r="41" customFormat="false" ht="14.25" hidden="false" customHeight="true" outlineLevel="0" collapsed="false">
      <c r="B41" s="93" t="n">
        <v>21.3</v>
      </c>
      <c r="C41" s="87" t="s">
        <v>104</v>
      </c>
      <c r="D41" s="84" t="n">
        <v>0.5</v>
      </c>
      <c r="E41" s="79"/>
      <c r="F41" s="79"/>
      <c r="G41" s="78" t="n">
        <v>0.25</v>
      </c>
      <c r="H41" s="78" t="n">
        <v>0.25</v>
      </c>
      <c r="I41" s="79"/>
      <c r="J41" s="79"/>
      <c r="K41" s="79"/>
      <c r="L41" s="80" t="s">
        <v>86</v>
      </c>
      <c r="M41" s="80"/>
      <c r="N41" s="91" t="n">
        <v>0.5</v>
      </c>
      <c r="O41" s="82" t="s">
        <v>45</v>
      </c>
      <c r="P41" s="83" t="n">
        <v>21</v>
      </c>
    </row>
    <row r="42" customFormat="false" ht="14.25" hidden="false" customHeight="true" outlineLevel="0" collapsed="false">
      <c r="B42" s="93" t="n">
        <v>21.4</v>
      </c>
      <c r="C42" s="87" t="s">
        <v>105</v>
      </c>
      <c r="D42" s="84" t="n">
        <v>0.5</v>
      </c>
      <c r="E42" s="79"/>
      <c r="F42" s="79"/>
      <c r="G42" s="79"/>
      <c r="H42" s="78" t="n">
        <v>0.5</v>
      </c>
      <c r="I42" s="79"/>
      <c r="J42" s="79"/>
      <c r="K42" s="79"/>
      <c r="L42" s="80" t="s">
        <v>86</v>
      </c>
      <c r="M42" s="80"/>
      <c r="N42" s="91" t="n">
        <v>0.5</v>
      </c>
      <c r="O42" s="82" t="s">
        <v>38</v>
      </c>
      <c r="P42" s="83" t="n">
        <v>21</v>
      </c>
    </row>
    <row r="43" customFormat="false" ht="14.25" hidden="false" customHeight="true" outlineLevel="0" collapsed="false">
      <c r="B43" s="93" t="n">
        <v>21.5</v>
      </c>
      <c r="C43" s="87" t="s">
        <v>106</v>
      </c>
      <c r="D43" s="84" t="n">
        <v>0.5</v>
      </c>
      <c r="E43" s="79"/>
      <c r="F43" s="79"/>
      <c r="G43" s="79"/>
      <c r="H43" s="78" t="n">
        <v>0.5</v>
      </c>
      <c r="I43" s="79"/>
      <c r="J43" s="79"/>
      <c r="K43" s="79"/>
      <c r="L43" s="80" t="s">
        <v>86</v>
      </c>
      <c r="M43" s="80"/>
      <c r="N43" s="91" t="n">
        <v>0.5</v>
      </c>
      <c r="O43" s="82" t="s">
        <v>48</v>
      </c>
      <c r="P43" s="83" t="n">
        <v>21</v>
      </c>
    </row>
    <row r="44" customFormat="false" ht="14.25" hidden="false" customHeight="true" outlineLevel="0" collapsed="false">
      <c r="B44" s="93" t="n">
        <v>21.6</v>
      </c>
      <c r="C44" s="87" t="s">
        <v>107</v>
      </c>
      <c r="D44" s="84" t="n">
        <v>0.5</v>
      </c>
      <c r="E44" s="79"/>
      <c r="F44" s="79"/>
      <c r="G44" s="79"/>
      <c r="H44" s="78" t="n">
        <v>0.5</v>
      </c>
      <c r="I44" s="79"/>
      <c r="J44" s="79"/>
      <c r="K44" s="79"/>
      <c r="L44" s="80" t="s">
        <v>86</v>
      </c>
      <c r="M44" s="80"/>
      <c r="N44" s="91" t="n">
        <v>0.5</v>
      </c>
      <c r="O44" s="82" t="s">
        <v>50</v>
      </c>
      <c r="P44" s="83" t="n">
        <v>21</v>
      </c>
    </row>
    <row r="45" customFormat="false" ht="14.25" hidden="false" customHeight="true" outlineLevel="0" collapsed="false">
      <c r="B45" s="93" t="n">
        <v>22.1</v>
      </c>
      <c r="C45" s="76" t="s">
        <v>108</v>
      </c>
      <c r="D45" s="84" t="n">
        <v>0.5</v>
      </c>
      <c r="E45" s="79"/>
      <c r="F45" s="79"/>
      <c r="G45" s="79"/>
      <c r="H45" s="78" t="n">
        <v>0.15</v>
      </c>
      <c r="I45" s="78" t="n">
        <v>0.25</v>
      </c>
      <c r="J45" s="78" t="n">
        <v>0.1</v>
      </c>
      <c r="K45" s="79"/>
      <c r="L45" s="80" t="s">
        <v>86</v>
      </c>
      <c r="M45" s="80"/>
      <c r="N45" s="91" t="n">
        <v>0.5</v>
      </c>
      <c r="O45" s="82" t="s">
        <v>42</v>
      </c>
      <c r="P45" s="83" t="n">
        <v>22</v>
      </c>
    </row>
    <row r="46" customFormat="false" ht="14.25" hidden="false" customHeight="true" outlineLevel="0" collapsed="false">
      <c r="B46" s="93" t="n">
        <v>22.2</v>
      </c>
      <c r="C46" s="76" t="s">
        <v>109</v>
      </c>
      <c r="D46" s="84" t="n">
        <v>0.5</v>
      </c>
      <c r="E46" s="79"/>
      <c r="F46" s="79"/>
      <c r="G46" s="78" t="n">
        <v>0.2</v>
      </c>
      <c r="H46" s="78" t="n">
        <v>0.2</v>
      </c>
      <c r="I46" s="78" t="n">
        <v>0.1</v>
      </c>
      <c r="J46" s="79"/>
      <c r="K46" s="79"/>
      <c r="L46" s="80" t="s">
        <v>86</v>
      </c>
      <c r="M46" s="80"/>
      <c r="N46" s="91" t="n">
        <v>0.5</v>
      </c>
      <c r="O46" s="82" t="s">
        <v>40</v>
      </c>
      <c r="P46" s="83" t="n">
        <v>22</v>
      </c>
    </row>
    <row r="47" customFormat="false" ht="14.25" hidden="false" customHeight="true" outlineLevel="0" collapsed="false">
      <c r="B47" s="93" t="n">
        <v>22.3</v>
      </c>
      <c r="C47" s="76" t="s">
        <v>110</v>
      </c>
      <c r="D47" s="84" t="n">
        <v>0.5</v>
      </c>
      <c r="E47" s="79"/>
      <c r="F47" s="78" t="n">
        <v>0</v>
      </c>
      <c r="G47" s="78" t="n">
        <v>0.2</v>
      </c>
      <c r="H47" s="78" t="n">
        <v>0.3</v>
      </c>
      <c r="I47" s="79"/>
      <c r="J47" s="79"/>
      <c r="K47" s="79"/>
      <c r="L47" s="80" t="s">
        <v>86</v>
      </c>
      <c r="M47" s="80"/>
      <c r="N47" s="91" t="n">
        <v>0.5</v>
      </c>
      <c r="O47" s="82" t="s">
        <v>45</v>
      </c>
      <c r="P47" s="83" t="n">
        <v>22</v>
      </c>
    </row>
    <row r="48" customFormat="false" ht="14.25" hidden="false" customHeight="true" outlineLevel="0" collapsed="false">
      <c r="B48" s="93" t="n">
        <v>22.4</v>
      </c>
      <c r="C48" s="76" t="s">
        <v>111</v>
      </c>
      <c r="D48" s="84" t="n">
        <v>0.5</v>
      </c>
      <c r="E48" s="79"/>
      <c r="F48" s="79"/>
      <c r="G48" s="79"/>
      <c r="H48" s="78" t="n">
        <v>0.1</v>
      </c>
      <c r="I48" s="78" t="n">
        <v>0.4</v>
      </c>
      <c r="J48" s="79"/>
      <c r="K48" s="79"/>
      <c r="L48" s="80" t="s">
        <v>86</v>
      </c>
      <c r="M48" s="80"/>
      <c r="N48" s="91" t="n">
        <v>0.5</v>
      </c>
      <c r="O48" s="82" t="s">
        <v>38</v>
      </c>
      <c r="P48" s="83" t="n">
        <v>22</v>
      </c>
    </row>
    <row r="49" customFormat="false" ht="14.25" hidden="false" customHeight="true" outlineLevel="0" collapsed="false">
      <c r="B49" s="93" t="n">
        <v>22.5</v>
      </c>
      <c r="C49" s="76" t="s">
        <v>112</v>
      </c>
      <c r="D49" s="84" t="n">
        <v>0.5</v>
      </c>
      <c r="E49" s="79"/>
      <c r="F49" s="79"/>
      <c r="G49" s="79"/>
      <c r="H49" s="79"/>
      <c r="I49" s="78" t="n">
        <v>0.25</v>
      </c>
      <c r="J49" s="78" t="n">
        <v>0.25</v>
      </c>
      <c r="K49" s="79"/>
      <c r="L49" s="80" t="s">
        <v>86</v>
      </c>
      <c r="M49" s="80"/>
      <c r="N49" s="91" t="n">
        <v>0.5</v>
      </c>
      <c r="O49" s="82" t="s">
        <v>48</v>
      </c>
      <c r="P49" s="83" t="n">
        <v>22</v>
      </c>
    </row>
    <row r="50" customFormat="false" ht="14.25" hidden="false" customHeight="true" outlineLevel="0" collapsed="false">
      <c r="B50" s="94" t="n">
        <v>22.6</v>
      </c>
      <c r="C50" s="95" t="s">
        <v>113</v>
      </c>
      <c r="D50" s="77" t="n">
        <v>0.5</v>
      </c>
      <c r="E50" s="96"/>
      <c r="F50" s="96"/>
      <c r="G50" s="96"/>
      <c r="H50" s="96"/>
      <c r="I50" s="96"/>
      <c r="J50" s="97" t="n">
        <v>0.5</v>
      </c>
      <c r="K50" s="96"/>
      <c r="L50" s="80" t="s">
        <v>86</v>
      </c>
      <c r="M50" s="80"/>
      <c r="N50" s="91" t="n">
        <v>0.5</v>
      </c>
      <c r="O50" s="82" t="s">
        <v>50</v>
      </c>
      <c r="P50" s="83" t="n">
        <v>22</v>
      </c>
    </row>
    <row r="51" customFormat="false" ht="14.25" hidden="false" customHeight="true" outlineLevel="0" collapsed="false">
      <c r="B51" s="98" t="s">
        <v>24</v>
      </c>
      <c r="C51" s="98"/>
      <c r="D51" s="99" t="n">
        <v>0</v>
      </c>
      <c r="E51" s="100" t="n">
        <v>3.05</v>
      </c>
      <c r="F51" s="100" t="n">
        <v>1.65</v>
      </c>
      <c r="G51" s="100" t="n">
        <v>1.75</v>
      </c>
      <c r="H51" s="100" t="n">
        <v>3.4</v>
      </c>
      <c r="I51" s="100" t="n">
        <v>1.5</v>
      </c>
      <c r="J51" s="100" t="n">
        <v>6.35</v>
      </c>
      <c r="K51" s="100" t="n">
        <v>0</v>
      </c>
      <c r="L51" s="101"/>
      <c r="M51" s="82"/>
    </row>
    <row r="52" customFormat="false" ht="14.25" hidden="false" customHeight="true" outlineLevel="0" collapsed="false">
      <c r="B52" s="102" t="s">
        <v>25</v>
      </c>
      <c r="C52" s="102"/>
      <c r="D52" s="103" t="n">
        <v>17.7</v>
      </c>
      <c r="E52" s="104" t="n">
        <v>14.7</v>
      </c>
      <c r="F52" s="104" t="n">
        <v>13</v>
      </c>
      <c r="G52" s="104" t="n">
        <v>11.3</v>
      </c>
      <c r="H52" s="104" t="n">
        <v>7.9</v>
      </c>
      <c r="I52" s="104" t="n">
        <v>6.4</v>
      </c>
      <c r="J52" s="104" t="n">
        <v>0</v>
      </c>
      <c r="K52" s="104" t="n">
        <v>0</v>
      </c>
      <c r="L52" s="101"/>
      <c r="M52" s="82"/>
    </row>
    <row r="53" customFormat="false" ht="14.25" hidden="false" customHeight="true" outlineLevel="0" collapsed="false">
      <c r="B53" s="105" t="s">
        <v>26</v>
      </c>
      <c r="C53" s="105"/>
      <c r="D53" s="106" t="n">
        <v>17.7</v>
      </c>
      <c r="E53" s="106" t="n">
        <v>15.2</v>
      </c>
      <c r="F53" s="106" t="n">
        <v>12.6</v>
      </c>
      <c r="G53" s="106" t="n">
        <v>10.1</v>
      </c>
      <c r="H53" s="106" t="n">
        <v>7.6</v>
      </c>
      <c r="I53" s="106" t="n">
        <v>5.1</v>
      </c>
      <c r="J53" s="106" t="n">
        <v>2.5</v>
      </c>
      <c r="K53" s="107" t="n">
        <v>0</v>
      </c>
    </row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</sheetData>
  <mergeCells count="52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B51:C51"/>
    <mergeCell ref="B52:C52"/>
    <mergeCell ref="B53:C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9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4" activeCellId="0" sqref="C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1" width="7.15"/>
    <col collapsed="false" customWidth="true" hidden="false" outlineLevel="0" max="3" min="3" style="1" width="73.14"/>
    <col collapsed="false" customWidth="true" hidden="false" outlineLevel="0" max="4" min="4" style="1" width="15.72"/>
    <col collapsed="false" customWidth="true" hidden="false" outlineLevel="0" max="13" min="5" style="1" width="10"/>
  </cols>
  <sheetData>
    <row r="1" customFormat="false" ht="14.25" hidden="false" customHeight="true" outlineLevel="0" collapsed="false"/>
    <row r="2" customFormat="false" ht="23.25" hidden="false" customHeight="true" outlineLevel="0" collapsed="false">
      <c r="B2" s="51" t="s">
        <v>114</v>
      </c>
      <c r="C2" s="51"/>
      <c r="D2" s="51"/>
      <c r="E2" s="51"/>
      <c r="F2" s="51"/>
      <c r="G2" s="51"/>
      <c r="H2" s="51"/>
      <c r="I2" s="51"/>
      <c r="J2" s="51"/>
      <c r="K2" s="51"/>
      <c r="M2" s="3"/>
    </row>
    <row r="3" customFormat="false" ht="14.25" hidden="false" customHeight="true" outlineLevel="0" collapsed="false">
      <c r="B3" s="52"/>
      <c r="C3" s="53"/>
      <c r="D3" s="53"/>
      <c r="E3" s="6" t="s">
        <v>115</v>
      </c>
      <c r="F3" s="6"/>
      <c r="G3" s="6"/>
      <c r="H3" s="6"/>
      <c r="I3" s="6"/>
      <c r="J3" s="6"/>
      <c r="K3" s="6"/>
      <c r="L3" s="7"/>
    </row>
    <row r="4" customFormat="false" ht="14.25" hidden="false" customHeight="true" outlineLevel="0" collapsed="false">
      <c r="B4" s="8" t="s">
        <v>2</v>
      </c>
      <c r="C4" s="9" t="s">
        <v>3</v>
      </c>
      <c r="D4" s="10" t="s">
        <v>4</v>
      </c>
      <c r="E4" s="11" t="n">
        <v>45971</v>
      </c>
      <c r="F4" s="11" t="n">
        <v>45972</v>
      </c>
      <c r="G4" s="11" t="n">
        <v>45973</v>
      </c>
      <c r="H4" s="11" t="n">
        <v>45974</v>
      </c>
      <c r="I4" s="11" t="n">
        <v>45975</v>
      </c>
      <c r="J4" s="11" t="n">
        <v>45976</v>
      </c>
      <c r="K4" s="11" t="n">
        <v>45977</v>
      </c>
    </row>
    <row r="5" customFormat="false" ht="14.25" hidden="false" customHeight="true" outlineLevel="0" collapsed="false">
      <c r="B5" s="8"/>
      <c r="C5" s="9"/>
      <c r="D5" s="13" t="s">
        <v>5</v>
      </c>
      <c r="E5" s="14" t="s">
        <v>6</v>
      </c>
      <c r="F5" s="15" t="s">
        <v>7</v>
      </c>
      <c r="G5" s="15" t="s">
        <v>8</v>
      </c>
      <c r="H5" s="15" t="s">
        <v>9</v>
      </c>
      <c r="I5" s="16" t="s">
        <v>10</v>
      </c>
      <c r="J5" s="15" t="s">
        <v>11</v>
      </c>
      <c r="K5" s="16" t="s">
        <v>12</v>
      </c>
    </row>
    <row r="6" customFormat="false" ht="14.25" hidden="false" customHeight="true" outlineLevel="0" collapsed="false">
      <c r="B6" s="24" t="n">
        <v>23</v>
      </c>
      <c r="C6" s="18" t="s">
        <v>116</v>
      </c>
      <c r="D6" s="25" t="n">
        <v>2</v>
      </c>
      <c r="E6" s="26"/>
      <c r="F6" s="27"/>
      <c r="G6" s="27" t="n">
        <v>0.5</v>
      </c>
      <c r="H6" s="27" t="n">
        <v>0.5</v>
      </c>
      <c r="I6" s="28" t="n">
        <v>0.5</v>
      </c>
      <c r="J6" s="27" t="n">
        <v>0.5</v>
      </c>
      <c r="K6" s="27"/>
      <c r="L6" s="54" t="str">
        <f aca="false">IF(N6=0, "NOT STARTED",IF(N6&gt;D6, "ERROR TO MUCH WORK", IF(N6=D6, "DONE", "NOT ENOUGH WORK YET")))</f>
        <v>DONE</v>
      </c>
      <c r="M6" s="54"/>
      <c r="N6" s="3" t="n">
        <f aca="false">SUM(E6:K6)</f>
        <v>2</v>
      </c>
      <c r="O6" s="3"/>
      <c r="P6" s="3"/>
    </row>
    <row r="7" customFormat="false" ht="14.25" hidden="false" customHeight="true" outlineLevel="0" collapsed="false">
      <c r="B7" s="24" t="n">
        <v>24</v>
      </c>
      <c r="C7" s="18" t="s">
        <v>117</v>
      </c>
      <c r="D7" s="25" t="n">
        <v>2</v>
      </c>
      <c r="E7" s="30"/>
      <c r="F7" s="27"/>
      <c r="G7" s="27" t="n">
        <v>0.5</v>
      </c>
      <c r="H7" s="27" t="n">
        <v>0.5</v>
      </c>
      <c r="I7" s="28" t="n">
        <v>0.5</v>
      </c>
      <c r="J7" s="27" t="n">
        <v>0.5</v>
      </c>
      <c r="K7" s="27"/>
      <c r="L7" s="54" t="str">
        <f aca="false">IF(N7=0, "NOT STARTED",IF(N7&gt;D7, "ERROR TO MUCH WORK", IF(N7=D7, "DONE", "NOT ENOUGH WORK YET")))</f>
        <v>DONE</v>
      </c>
      <c r="M7" s="54"/>
      <c r="N7" s="3" t="n">
        <f aca="false">SUM(E7:K7)</f>
        <v>2</v>
      </c>
      <c r="O7" s="3"/>
      <c r="P7" s="3"/>
    </row>
    <row r="8" customFormat="false" ht="14.25" hidden="false" customHeight="true" outlineLevel="0" collapsed="false">
      <c r="B8" s="24" t="n">
        <v>25</v>
      </c>
      <c r="C8" s="18" t="s">
        <v>118</v>
      </c>
      <c r="D8" s="25" t="n">
        <v>2</v>
      </c>
      <c r="E8" s="30" t="n">
        <v>0.5</v>
      </c>
      <c r="F8" s="27"/>
      <c r="G8" s="27" t="n">
        <v>0.5</v>
      </c>
      <c r="H8" s="27" t="n">
        <v>0.5</v>
      </c>
      <c r="I8" s="28" t="n">
        <v>0.4</v>
      </c>
      <c r="J8" s="27" t="n">
        <v>0.1</v>
      </c>
      <c r="K8" s="27"/>
      <c r="L8" s="54" t="str">
        <f aca="false">IF(N8=0, "NOT STARTED",IF(N8&gt;D8, "ERROR TO MUCH WORK", IF(N8=D8, "DONE", "NOT ENOUGH WORK YET")))</f>
        <v>DONE</v>
      </c>
      <c r="M8" s="54"/>
      <c r="N8" s="3" t="n">
        <f aca="false">SUM(E8:K8)</f>
        <v>2</v>
      </c>
      <c r="O8" s="3"/>
      <c r="P8" s="3"/>
    </row>
    <row r="9" customFormat="false" ht="14.25" hidden="false" customHeight="true" outlineLevel="0" collapsed="false">
      <c r="B9" s="24" t="n">
        <v>26</v>
      </c>
      <c r="C9" s="18" t="s">
        <v>119</v>
      </c>
      <c r="D9" s="25" t="n">
        <v>2</v>
      </c>
      <c r="E9" s="30" t="n">
        <v>2</v>
      </c>
      <c r="F9" s="27"/>
      <c r="G9" s="27"/>
      <c r="H9" s="27"/>
      <c r="I9" s="28"/>
      <c r="J9" s="27"/>
      <c r="K9" s="27"/>
      <c r="L9" s="54" t="str">
        <f aca="false">IF(N9=0, "NOT STARTED",IF(N9&gt;D9, "ERROR TO MUCH WORK", IF(N9=D9, "DONE", "NOT ENOUGH WORK YET")))</f>
        <v>DONE</v>
      </c>
      <c r="M9" s="54"/>
      <c r="N9" s="3" t="n">
        <f aca="false">SUM(E9:K9)</f>
        <v>2</v>
      </c>
      <c r="O9" s="3"/>
      <c r="P9" s="3"/>
    </row>
    <row r="10" customFormat="false" ht="14.25" hidden="false" customHeight="true" outlineLevel="0" collapsed="false">
      <c r="B10" s="24" t="n">
        <v>27</v>
      </c>
      <c r="C10" s="55" t="s">
        <v>120</v>
      </c>
      <c r="D10" s="19" t="n">
        <v>3</v>
      </c>
      <c r="E10" s="30" t="n">
        <v>1</v>
      </c>
      <c r="F10" s="27" t="n">
        <v>1</v>
      </c>
      <c r="G10" s="27" t="n">
        <v>1</v>
      </c>
      <c r="H10" s="27"/>
      <c r="I10" s="28"/>
      <c r="J10" s="27"/>
      <c r="K10" s="27"/>
      <c r="L10" s="54" t="str">
        <f aca="false">IF(N10=0, "NOT STARTED",IF(N10&gt;D10, "ERROR TO MUCH WORK", IF(N10=D10, "DONE", "NOT ENOUGH WORK YET")))</f>
        <v>DONE</v>
      </c>
      <c r="M10" s="54"/>
      <c r="N10" s="3" t="n">
        <f aca="false">SUM(E10:K10)</f>
        <v>3</v>
      </c>
      <c r="O10" s="3"/>
      <c r="P10" s="3"/>
    </row>
    <row r="11" customFormat="false" ht="14.25" hidden="false" customHeight="true" outlineLevel="0" collapsed="false">
      <c r="B11" s="24" t="n">
        <v>28</v>
      </c>
      <c r="C11" s="55" t="s">
        <v>121</v>
      </c>
      <c r="D11" s="25" t="n">
        <v>2</v>
      </c>
      <c r="E11" s="30"/>
      <c r="F11" s="27" t="n">
        <v>0.6</v>
      </c>
      <c r="G11" s="27" t="n">
        <v>0.6</v>
      </c>
      <c r="H11" s="27" t="n">
        <v>0.5</v>
      </c>
      <c r="I11" s="28" t="n">
        <v>0.2</v>
      </c>
      <c r="J11" s="27" t="n">
        <v>0.1</v>
      </c>
      <c r="K11" s="27"/>
      <c r="L11" s="108" t="str">
        <f aca="false">IF(N11=0, "NOT STARTED",IF(N11&gt;D11, "ERROR TO MUCH WORK", IF(N11=D11, "DONE", "NOT ENOUGH WORK YET")))</f>
        <v>DONE</v>
      </c>
      <c r="M11" s="108"/>
      <c r="N11" s="3" t="n">
        <f aca="false">SUM(E11:K11)</f>
        <v>2</v>
      </c>
      <c r="O11" s="3"/>
      <c r="P11" s="3"/>
    </row>
    <row r="12" customFormat="false" ht="14.25" hidden="false" customHeight="true" outlineLevel="0" collapsed="false">
      <c r="B12" s="24" t="n">
        <v>29</v>
      </c>
      <c r="C12" s="55" t="s">
        <v>122</v>
      </c>
      <c r="D12" s="109" t="n">
        <v>1.6</v>
      </c>
      <c r="E12" s="30"/>
      <c r="F12" s="27"/>
      <c r="G12" s="27"/>
      <c r="H12" s="27"/>
      <c r="I12" s="28"/>
      <c r="J12" s="27" t="n">
        <v>1</v>
      </c>
      <c r="K12" s="27" t="n">
        <v>0.6</v>
      </c>
      <c r="L12" s="54" t="str">
        <f aca="false">IF(N12=0, "NOT STARTED",IF(N12&gt;D12, "ERROR TO MUCH WORK", IF(N12=D12, "DONE", "NOT ENOUGH WORK YET")))</f>
        <v>DONE</v>
      </c>
      <c r="M12" s="54"/>
      <c r="N12" s="3" t="n">
        <f aca="false">SUM(E12:K12)</f>
        <v>1.6</v>
      </c>
      <c r="O12" s="3"/>
      <c r="P12" s="3"/>
    </row>
    <row r="13" customFormat="false" ht="14.25" hidden="false" customHeight="true" outlineLevel="0" collapsed="false">
      <c r="B13" s="24" t="n">
        <v>30</v>
      </c>
      <c r="C13" s="55" t="s">
        <v>123</v>
      </c>
      <c r="D13" s="109" t="n">
        <v>1</v>
      </c>
      <c r="E13" s="30"/>
      <c r="F13" s="27"/>
      <c r="G13" s="27"/>
      <c r="H13" s="27"/>
      <c r="I13" s="28"/>
      <c r="J13" s="27" t="n">
        <v>1</v>
      </c>
      <c r="K13" s="27"/>
      <c r="L13" s="108" t="str">
        <f aca="false">IF(N13=0, "NOT STARTED",IF(N13&gt;D13, "ERROR TO MUCH WORK", IF(N13=D13, "DONE", "NOT ENOUGH WORK YET")))</f>
        <v>DONE</v>
      </c>
      <c r="M13" s="108"/>
      <c r="N13" s="3" t="n">
        <f aca="false">SUM(E13:K13)</f>
        <v>1</v>
      </c>
      <c r="O13" s="3"/>
      <c r="P13" s="3"/>
    </row>
    <row r="14" customFormat="false" ht="14.25" hidden="false" customHeight="true" outlineLevel="0" collapsed="false">
      <c r="B14" s="31" t="s">
        <v>24</v>
      </c>
      <c r="C14" s="31"/>
      <c r="D14" s="32" t="n">
        <v>0</v>
      </c>
      <c r="E14" s="33" t="n">
        <f aca="false">SUM(E6:E13)</f>
        <v>3.5</v>
      </c>
      <c r="F14" s="34" t="n">
        <f aca="false">SUM(F6:F13)</f>
        <v>1.6</v>
      </c>
      <c r="G14" s="34" t="n">
        <f aca="false">SUM(G6:G13)</f>
        <v>3.1</v>
      </c>
      <c r="H14" s="34" t="n">
        <f aca="false">SUM(H6:H13)</f>
        <v>2</v>
      </c>
      <c r="I14" s="35" t="n">
        <f aca="false">SUM(I6:I13)</f>
        <v>1.6</v>
      </c>
      <c r="J14" s="36" t="n">
        <f aca="false">SUM(J6:J13)</f>
        <v>3.2</v>
      </c>
      <c r="K14" s="34" t="n">
        <f aca="false">SUM(K6:K13)</f>
        <v>0.6</v>
      </c>
    </row>
    <row r="15" customFormat="false" ht="14.25" hidden="false" customHeight="true" outlineLevel="0" collapsed="false">
      <c r="B15" s="38" t="s">
        <v>25</v>
      </c>
      <c r="C15" s="38"/>
      <c r="D15" s="39" t="n">
        <f aca="false">SUM(D6:D14)</f>
        <v>15.6</v>
      </c>
      <c r="E15" s="40" t="n">
        <f aca="false">D15-SUM(E6:E13)</f>
        <v>12.1</v>
      </c>
      <c r="F15" s="41" t="n">
        <f aca="false">E15-SUM(F6:F13)</f>
        <v>10.5</v>
      </c>
      <c r="G15" s="41" t="n">
        <f aca="false">F15-SUM(G6:G13)</f>
        <v>7.4</v>
      </c>
      <c r="H15" s="41" t="n">
        <f aca="false">G15-SUM(H6:H13)</f>
        <v>5.4</v>
      </c>
      <c r="I15" s="42" t="n">
        <f aca="false">H15-SUM(I6:I13)</f>
        <v>3.8</v>
      </c>
      <c r="J15" s="43" t="n">
        <f aca="false">I15-SUM(J6:J13)</f>
        <v>0.600000000000001</v>
      </c>
      <c r="K15" s="43" t="n">
        <f aca="false">J15-SUM(K6:K13)</f>
        <v>0</v>
      </c>
    </row>
    <row r="16" customFormat="false" ht="14.25" hidden="false" customHeight="true" outlineLevel="0" collapsed="false">
      <c r="B16" s="46" t="s">
        <v>26</v>
      </c>
      <c r="C16" s="46"/>
      <c r="D16" s="47" t="n">
        <v>15.6</v>
      </c>
      <c r="E16" s="48" t="n">
        <f aca="false">$D$16-($D$16/7*1)</f>
        <v>13.3714285714286</v>
      </c>
      <c r="F16" s="48" t="n">
        <f aca="false">$D$16-($D$16/7*2)</f>
        <v>11.1428571428571</v>
      </c>
      <c r="G16" s="48" t="n">
        <f aca="false">$D$16-($D$16/7*3)</f>
        <v>8.91428571428572</v>
      </c>
      <c r="H16" s="48" t="n">
        <f aca="false">$D$16-($D$16/7*4)</f>
        <v>6.68571428571429</v>
      </c>
      <c r="I16" s="49" t="n">
        <f aca="false">$D$16-($D$16/7*5)</f>
        <v>4.45714285714286</v>
      </c>
      <c r="J16" s="49" t="n">
        <f aca="false">$D$16-($D$16/7*6)</f>
        <v>2.22857142857143</v>
      </c>
      <c r="K16" s="48" t="n">
        <f aca="false">$D$16-($D$16/7*7)</f>
        <v>0</v>
      </c>
    </row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</sheetData>
  <mergeCells count="15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B14:C14"/>
    <mergeCell ref="B15:C15"/>
    <mergeCell ref="B16:C16"/>
  </mergeCells>
  <conditionalFormatting sqref="L6:L13">
    <cfRule type="cellIs" priority="2" operator="equal" aboveAverage="0" equalAverage="0" bottom="0" percent="0" rank="0" text="" dxfId="4">
      <formula>"DONE"</formula>
    </cfRule>
  </conditionalFormatting>
  <conditionalFormatting sqref="L6:M13">
    <cfRule type="cellIs" priority="3" operator="equal" aboveAverage="0" equalAverage="0" bottom="0" percent="0" rank="0" text="" dxfId="5">
      <formula>"NOT ENOUGH WORK YET"</formula>
    </cfRule>
    <cfRule type="cellIs" priority="4" operator="equal" aboveAverage="0" equalAverage="0" bottom="0" percent="0" rank="0" text="" dxfId="6">
      <formula>"ERROR TO MUCH WORK"</formula>
    </cfRule>
    <cfRule type="cellIs" priority="5" operator="equal" aboveAverage="0" equalAverage="0" bottom="0" percent="0" rank="0" text="" dxfId="7">
      <formula>"NOT STARTED"</formula>
    </cfRule>
  </conditionalFormatting>
  <conditionalFormatting sqref="N7:N13">
    <cfRule type="colorScale" priority="6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7"/>
  <sheetViews>
    <sheetView showFormulas="false" showGridLines="true" showRowColHeaders="true" showZeros="true" rightToLeft="false" tabSelected="false" showOutlineSymbols="true" defaultGridColor="true" view="normal" topLeftCell="A12" colorId="64" zoomScale="85" zoomScaleNormal="85" zoomScalePageLayoutView="100" workbookViewId="0">
      <selection pane="topLeft" activeCell="O6" activeCellId="0" sqref="O6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1" width="7.43"/>
    <col collapsed="false" customWidth="true" hidden="false" outlineLevel="0" max="3" min="3" style="1" width="79"/>
    <col collapsed="false" customWidth="true" hidden="false" outlineLevel="0" max="4" min="4" style="1" width="17"/>
    <col collapsed="false" customWidth="true" hidden="false" outlineLevel="0" max="5" min="5" style="1" width="11.57"/>
    <col collapsed="false" customWidth="true" hidden="false" outlineLevel="0" max="6" min="6" style="1" width="12"/>
    <col collapsed="false" customWidth="true" hidden="false" outlineLevel="0" max="7" min="7" style="1" width="10.86"/>
    <col collapsed="false" customWidth="true" hidden="false" outlineLevel="0" max="8" min="8" style="1" width="11.43"/>
    <col collapsed="false" customWidth="true" hidden="false" outlineLevel="0" max="9" min="9" style="1" width="11.86"/>
    <col collapsed="false" customWidth="true" hidden="false" outlineLevel="0" max="10" min="10" style="1" width="13.14"/>
    <col collapsed="false" customWidth="true" hidden="false" outlineLevel="0" max="11" min="11" style="1" width="12.43"/>
    <col collapsed="false" customWidth="true" hidden="false" outlineLevel="0" max="13" min="13" style="1" width="13.14"/>
    <col collapsed="false" customWidth="true" hidden="false" outlineLevel="0" max="14" min="14" style="1" width="12.72"/>
  </cols>
  <sheetData>
    <row r="2" customFormat="false" ht="24.45" hidden="false" customHeight="false" outlineLevel="0" collapsed="false">
      <c r="B2" s="51" t="s">
        <v>124</v>
      </c>
      <c r="C2" s="51"/>
      <c r="D2" s="51"/>
      <c r="E2" s="51"/>
      <c r="F2" s="51"/>
      <c r="G2" s="51"/>
      <c r="H2" s="51"/>
      <c r="I2" s="51"/>
      <c r="J2" s="51"/>
      <c r="K2" s="51"/>
      <c r="M2" s="3"/>
    </row>
    <row r="3" customFormat="false" ht="15" hidden="false" customHeight="false" outlineLevel="0" collapsed="false">
      <c r="B3" s="52"/>
      <c r="C3" s="53"/>
      <c r="D3" s="110"/>
      <c r="E3" s="6" t="s">
        <v>125</v>
      </c>
      <c r="F3" s="6"/>
      <c r="G3" s="6"/>
      <c r="H3" s="6"/>
      <c r="I3" s="6"/>
      <c r="J3" s="6"/>
      <c r="K3" s="6"/>
      <c r="L3" s="7"/>
    </row>
    <row r="4" customFormat="false" ht="15" hidden="false" customHeight="false" outlineLevel="0" collapsed="false">
      <c r="B4" s="8" t="s">
        <v>2</v>
      </c>
      <c r="C4" s="111" t="s">
        <v>3</v>
      </c>
      <c r="D4" s="112" t="s">
        <v>4</v>
      </c>
      <c r="E4" s="113" t="n">
        <v>45978</v>
      </c>
      <c r="F4" s="114" t="n">
        <v>45979</v>
      </c>
      <c r="G4" s="114" t="n">
        <v>45980</v>
      </c>
      <c r="H4" s="114" t="n">
        <v>45981</v>
      </c>
      <c r="I4" s="114" t="n">
        <v>45982</v>
      </c>
      <c r="J4" s="114" t="n">
        <v>45983</v>
      </c>
      <c r="K4" s="114" t="n">
        <v>45984</v>
      </c>
    </row>
    <row r="5" customFormat="false" ht="15" hidden="false" customHeight="false" outlineLevel="0" collapsed="false">
      <c r="B5" s="8"/>
      <c r="C5" s="111"/>
      <c r="D5" s="115" t="s">
        <v>5</v>
      </c>
      <c r="E5" s="116" t="s">
        <v>6</v>
      </c>
      <c r="F5" s="116" t="s">
        <v>7</v>
      </c>
      <c r="G5" s="116" t="s">
        <v>8</v>
      </c>
      <c r="H5" s="116" t="s">
        <v>9</v>
      </c>
      <c r="I5" s="116" t="s">
        <v>10</v>
      </c>
      <c r="J5" s="116" t="s">
        <v>11</v>
      </c>
      <c r="K5" s="117" t="s">
        <v>12</v>
      </c>
    </row>
    <row r="6" customFormat="false" ht="16.4" hidden="false" customHeight="false" outlineLevel="0" collapsed="false">
      <c r="B6" s="118" t="s">
        <v>126</v>
      </c>
      <c r="C6" s="119" t="s">
        <v>127</v>
      </c>
      <c r="D6" s="120" t="n">
        <v>2</v>
      </c>
      <c r="E6" s="121"/>
      <c r="F6" s="59" t="n">
        <v>0.5</v>
      </c>
      <c r="G6" s="61" t="n">
        <v>0.5</v>
      </c>
      <c r="H6" s="61" t="n">
        <v>0.5</v>
      </c>
      <c r="I6" s="122" t="n">
        <v>0.25</v>
      </c>
      <c r="J6" s="61" t="n">
        <v>0.25</v>
      </c>
      <c r="K6" s="61"/>
      <c r="L6" s="54" t="str">
        <f aca="false">IF(N6=0, "NOT STARTED",IF(N6&gt;D6, "ERROR TO MUCH WORK", IF(N6=D6, "DONE", "NOT ENOUGH WORK YET")))</f>
        <v>DONE</v>
      </c>
      <c r="M6" s="54"/>
      <c r="N6" s="3" t="n">
        <f aca="false">SUM(E6:K6)</f>
        <v>2</v>
      </c>
      <c r="O6" s="3" t="s">
        <v>48</v>
      </c>
      <c r="P6" s="3"/>
    </row>
    <row r="7" customFormat="false" ht="16.4" hidden="false" customHeight="false" outlineLevel="0" collapsed="false">
      <c r="B7" s="123" t="s">
        <v>128</v>
      </c>
      <c r="C7" s="119" t="s">
        <v>127</v>
      </c>
      <c r="D7" s="124" t="n">
        <v>2</v>
      </c>
      <c r="E7" s="59" t="n">
        <v>0.5</v>
      </c>
      <c r="F7" s="27"/>
      <c r="G7" s="27" t="n">
        <v>0.5</v>
      </c>
      <c r="H7" s="27" t="n">
        <v>0.5</v>
      </c>
      <c r="I7" s="28"/>
      <c r="J7" s="27" t="n">
        <v>0.5</v>
      </c>
      <c r="K7" s="27"/>
      <c r="L7" s="54" t="str">
        <f aca="false">IF(N7=0, "NOT STARTED",IF(N7&gt;D7, "ERROR TO MUCH WORK", IF(N7=D7, "DONE", "NOT ENOUGH WORK YET")))</f>
        <v>DONE</v>
      </c>
      <c r="M7" s="54"/>
      <c r="N7" s="3" t="n">
        <f aca="false">SUM(E7:K7)</f>
        <v>2</v>
      </c>
      <c r="O7" s="3" t="s">
        <v>42</v>
      </c>
      <c r="P7" s="3"/>
    </row>
    <row r="8" customFormat="false" ht="16.4" hidden="false" customHeight="false" outlineLevel="0" collapsed="false">
      <c r="B8" s="123" t="s">
        <v>129</v>
      </c>
      <c r="C8" s="119" t="s">
        <v>130</v>
      </c>
      <c r="D8" s="124" t="n">
        <v>2</v>
      </c>
      <c r="E8" s="125" t="n">
        <v>0.5</v>
      </c>
      <c r="F8" s="27" t="n">
        <v>0.5</v>
      </c>
      <c r="G8" s="27" t="n">
        <v>0.5</v>
      </c>
      <c r="H8" s="27" t="n">
        <v>0.5</v>
      </c>
      <c r="I8" s="28"/>
      <c r="J8" s="27"/>
      <c r="K8" s="27"/>
      <c r="L8" s="54" t="str">
        <f aca="false">IF(N8=0, "NOT STARTED",IF(N8&gt;D8, "ERROR TO MUCH WORK", IF(N8=D8, "DONE", "NOT ENOUGH WORK YET")))</f>
        <v>DONE</v>
      </c>
      <c r="M8" s="54"/>
      <c r="N8" s="3" t="n">
        <f aca="false">SUM(E8:K8)</f>
        <v>2</v>
      </c>
      <c r="O8" s="3" t="s">
        <v>38</v>
      </c>
      <c r="P8" s="3"/>
    </row>
    <row r="9" customFormat="false" ht="16.4" hidden="false" customHeight="false" outlineLevel="0" collapsed="false">
      <c r="B9" s="123" t="s">
        <v>131</v>
      </c>
      <c r="C9" s="119" t="s">
        <v>130</v>
      </c>
      <c r="D9" s="124" t="n">
        <v>2</v>
      </c>
      <c r="E9" s="125" t="n">
        <v>0.5</v>
      </c>
      <c r="F9" s="27" t="n">
        <v>0.5</v>
      </c>
      <c r="G9" s="27" t="n">
        <v>0.5</v>
      </c>
      <c r="H9" s="27" t="n">
        <v>0.5</v>
      </c>
      <c r="I9" s="28"/>
      <c r="J9" s="27"/>
      <c r="K9" s="27"/>
      <c r="L9" s="54" t="str">
        <f aca="false">IF(N9=0, "NOT STARTED",IF(N9&gt;D9, "ERROR TO MUCH WORK", IF(N9=D9, "DONE", "NOT ENOUGH WORK YET")))</f>
        <v>DONE</v>
      </c>
      <c r="M9" s="54"/>
      <c r="N9" s="3" t="n">
        <f aca="false">SUM(E9:K9)</f>
        <v>2</v>
      </c>
      <c r="O9" s="3" t="s">
        <v>132</v>
      </c>
      <c r="P9" s="3"/>
    </row>
    <row r="10" customFormat="false" ht="16.4" hidden="false" customHeight="false" outlineLevel="0" collapsed="false">
      <c r="B10" s="123" t="s">
        <v>133</v>
      </c>
      <c r="C10" s="119" t="s">
        <v>134</v>
      </c>
      <c r="D10" s="124" t="n">
        <v>0.5</v>
      </c>
      <c r="E10" s="125"/>
      <c r="F10" s="27"/>
      <c r="G10" s="27" t="n">
        <v>0.25</v>
      </c>
      <c r="H10" s="27" t="n">
        <v>0.25</v>
      </c>
      <c r="I10" s="28"/>
      <c r="J10" s="27"/>
      <c r="K10" s="27"/>
      <c r="L10" s="54" t="str">
        <f aca="false">IF(N10=0, "NOT STARTED",IF(N10&gt;D10, "ERROR TO MUCH WORK", IF(N10=D10, "DONE", "NOT ENOUGH WORK YET")))</f>
        <v>DONE</v>
      </c>
      <c r="M10" s="54"/>
      <c r="N10" s="3" t="n">
        <f aca="false">SUM(E10:K10)</f>
        <v>0.5</v>
      </c>
      <c r="O10" s="3" t="s">
        <v>48</v>
      </c>
      <c r="P10" s="3"/>
    </row>
    <row r="11" customFormat="false" ht="16.4" hidden="false" customHeight="false" outlineLevel="0" collapsed="false">
      <c r="B11" s="123" t="s">
        <v>135</v>
      </c>
      <c r="C11" s="119" t="s">
        <v>134</v>
      </c>
      <c r="D11" s="124" t="n">
        <v>0.5</v>
      </c>
      <c r="E11" s="125" t="n">
        <v>0.25</v>
      </c>
      <c r="F11" s="27"/>
      <c r="G11" s="27"/>
      <c r="H11" s="27" t="n">
        <v>0.25</v>
      </c>
      <c r="I11" s="28"/>
      <c r="J11" s="27"/>
      <c r="K11" s="27"/>
      <c r="L11" s="54" t="str">
        <f aca="false">IF(N11=0, "NOT STARTED",IF(N11&gt;D11, "ERROR TO MUCH WORK", IF(N11=D11, "DONE", "NOT ENOUGH WORK YET")))</f>
        <v>DONE</v>
      </c>
      <c r="M11" s="54"/>
      <c r="N11" s="3" t="n">
        <f aca="false">SUM(E11:K11)</f>
        <v>0.5</v>
      </c>
      <c r="O11" s="3" t="s">
        <v>42</v>
      </c>
      <c r="P11" s="3"/>
    </row>
    <row r="12" customFormat="false" ht="16.4" hidden="false" customHeight="false" outlineLevel="0" collapsed="false">
      <c r="B12" s="123" t="s">
        <v>136</v>
      </c>
      <c r="C12" s="119" t="s">
        <v>137</v>
      </c>
      <c r="D12" s="124" t="n">
        <v>0.5</v>
      </c>
      <c r="E12" s="125"/>
      <c r="F12" s="27"/>
      <c r="G12" s="27"/>
      <c r="H12" s="27" t="n">
        <v>0.25</v>
      </c>
      <c r="I12" s="28"/>
      <c r="J12" s="27"/>
      <c r="K12" s="27" t="n">
        <v>0.25</v>
      </c>
      <c r="L12" s="54" t="str">
        <f aca="false">IF(N12=0, "NOT STARTED",IF(N12&gt;D12, "ERROR TO MUCH WORK", IF(N12=D12, "DONE", "NOT ENOUGH WORK YET")))</f>
        <v>DONE</v>
      </c>
      <c r="M12" s="54"/>
      <c r="N12" s="3" t="n">
        <f aca="false">SUM(E12:K12)</f>
        <v>0.5</v>
      </c>
      <c r="O12" s="3" t="s">
        <v>38</v>
      </c>
      <c r="P12" s="3"/>
    </row>
    <row r="13" customFormat="false" ht="16.4" hidden="false" customHeight="false" outlineLevel="0" collapsed="false">
      <c r="B13" s="123" t="s">
        <v>138</v>
      </c>
      <c r="C13" s="119" t="s">
        <v>137</v>
      </c>
      <c r="D13" s="124" t="n">
        <v>0.5</v>
      </c>
      <c r="E13" s="125"/>
      <c r="F13" s="27"/>
      <c r="G13" s="27"/>
      <c r="H13" s="27" t="n">
        <v>0.25</v>
      </c>
      <c r="I13" s="28"/>
      <c r="J13" s="27"/>
      <c r="K13" s="27" t="n">
        <v>0.25</v>
      </c>
      <c r="L13" s="54" t="str">
        <f aca="false">IF(N13=0, "NOT STARTED",IF(N13&gt;D13, "ERROR TO MUCH WORK", IF(N13=D13, "DONE", "NOT ENOUGH WORK YET")))</f>
        <v>DONE</v>
      </c>
      <c r="M13" s="54"/>
      <c r="N13" s="3" t="n">
        <f aca="false">SUM(E13:K13)</f>
        <v>0.5</v>
      </c>
      <c r="O13" s="3" t="s">
        <v>132</v>
      </c>
      <c r="P13" s="3"/>
    </row>
    <row r="14" customFormat="false" ht="16.4" hidden="false" customHeight="false" outlineLevel="0" collapsed="false">
      <c r="B14" s="123" t="n">
        <v>35</v>
      </c>
      <c r="C14" s="126" t="s">
        <v>139</v>
      </c>
      <c r="D14" s="124" t="n">
        <v>1</v>
      </c>
      <c r="E14" s="125" t="n">
        <v>0.25</v>
      </c>
      <c r="F14" s="27" t="n">
        <v>0.75</v>
      </c>
      <c r="G14" s="27"/>
      <c r="H14" s="27"/>
      <c r="I14" s="28"/>
      <c r="J14" s="27"/>
      <c r="K14" s="27"/>
      <c r="L14" s="54" t="str">
        <f aca="false">IF(N14=0, "NOT STARTED",IF(N14&gt;D14, "ERROR TO MUCH WORK", IF(N14=D14, "DONE", "NOT ENOUGH WORK YET")))</f>
        <v>DONE</v>
      </c>
      <c r="M14" s="54"/>
      <c r="N14" s="3" t="n">
        <f aca="false">SUM(E14:K14)</f>
        <v>1</v>
      </c>
      <c r="O14" s="3" t="s">
        <v>45</v>
      </c>
      <c r="P14" s="3"/>
    </row>
    <row r="15" customFormat="false" ht="16.4" hidden="false" customHeight="false" outlineLevel="0" collapsed="false">
      <c r="B15" s="123" t="n">
        <v>36</v>
      </c>
      <c r="C15" s="126" t="s">
        <v>140</v>
      </c>
      <c r="D15" s="124" t="n">
        <v>1</v>
      </c>
      <c r="E15" s="125"/>
      <c r="F15" s="27"/>
      <c r="G15" s="27" t="n">
        <v>0.5</v>
      </c>
      <c r="H15" s="27" t="n">
        <v>0.5</v>
      </c>
      <c r="I15" s="28"/>
      <c r="J15" s="27"/>
      <c r="K15" s="27"/>
      <c r="L15" s="54" t="str">
        <f aca="false">IF(N15=0, "NOT STARTED",IF(N15&gt;D15, "ERROR TO MUCH WORK", IF(N15=D15, "DONE", "NOT ENOUGH WORK YET")))</f>
        <v>DONE</v>
      </c>
      <c r="M15" s="54"/>
      <c r="N15" s="3" t="n">
        <f aca="false">SUM(E15:K15)</f>
        <v>1</v>
      </c>
      <c r="O15" s="3" t="s">
        <v>40</v>
      </c>
      <c r="P15" s="3"/>
    </row>
    <row r="16" customFormat="false" ht="16.4" hidden="false" customHeight="false" outlineLevel="0" collapsed="false">
      <c r="B16" s="123" t="s">
        <v>141</v>
      </c>
      <c r="C16" s="3" t="s">
        <v>142</v>
      </c>
      <c r="D16" s="124" t="n">
        <v>1</v>
      </c>
      <c r="E16" s="125"/>
      <c r="F16" s="27"/>
      <c r="G16" s="27"/>
      <c r="H16" s="27"/>
      <c r="I16" s="28"/>
      <c r="J16" s="27" t="n">
        <v>0.5</v>
      </c>
      <c r="K16" s="27" t="n">
        <v>0.5</v>
      </c>
      <c r="L16" s="54" t="str">
        <f aca="false">IF(N16=0, "NOT STARTED",IF(N16&gt;D16, "ERROR TO MUCH WORK", IF(N16=D16, "DONE", "NOT ENOUGH WORK YET")))</f>
        <v>DONE</v>
      </c>
      <c r="M16" s="54"/>
      <c r="N16" s="3" t="n">
        <f aca="false">SUM(E16:K16)</f>
        <v>1</v>
      </c>
      <c r="O16" s="3" t="s">
        <v>48</v>
      </c>
      <c r="P16" s="3"/>
    </row>
    <row r="17" customFormat="false" ht="16.4" hidden="false" customHeight="false" outlineLevel="0" collapsed="false">
      <c r="B17" s="123" t="s">
        <v>143</v>
      </c>
      <c r="C17" s="3" t="s">
        <v>142</v>
      </c>
      <c r="D17" s="124" t="n">
        <v>1</v>
      </c>
      <c r="E17" s="125"/>
      <c r="F17" s="27"/>
      <c r="G17" s="27"/>
      <c r="H17" s="27"/>
      <c r="I17" s="28" t="n">
        <v>0.75</v>
      </c>
      <c r="J17" s="27"/>
      <c r="K17" s="27" t="n">
        <v>0.25</v>
      </c>
      <c r="L17" s="54" t="str">
        <f aca="false">IF(N17=0, "NOT STARTED",IF(N17&gt;D17, "ERROR TO MUCH WORK", IF(N17=D17, "DONE", "NOT ENOUGH WORK YET")))</f>
        <v>DONE</v>
      </c>
      <c r="M17" s="54"/>
      <c r="N17" s="3" t="n">
        <f aca="false">SUM(E17:K17)</f>
        <v>1</v>
      </c>
      <c r="O17" s="3" t="s">
        <v>42</v>
      </c>
      <c r="P17" s="3"/>
    </row>
    <row r="18" customFormat="false" ht="16.4" hidden="false" customHeight="false" outlineLevel="0" collapsed="false">
      <c r="B18" s="123" t="s">
        <v>144</v>
      </c>
      <c r="C18" s="3" t="s">
        <v>145</v>
      </c>
      <c r="D18" s="124" t="n">
        <v>1</v>
      </c>
      <c r="E18" s="125"/>
      <c r="F18" s="27"/>
      <c r="G18" s="27"/>
      <c r="H18" s="27"/>
      <c r="I18" s="28"/>
      <c r="J18" s="27"/>
      <c r="K18" s="27" t="n">
        <v>1</v>
      </c>
      <c r="L18" s="54" t="str">
        <f aca="false">IF(N18=0, "NOT STARTED",IF(N18&gt;D18, "ERROR TO MUCH WORK", IF(N18=D18, "DONE", "NOT ENOUGH WORK YET")))</f>
        <v>DONE</v>
      </c>
      <c r="M18" s="54"/>
      <c r="N18" s="3" t="n">
        <f aca="false">SUM(E18:K18)</f>
        <v>1</v>
      </c>
      <c r="O18" s="3" t="s">
        <v>38</v>
      </c>
      <c r="P18" s="3"/>
    </row>
    <row r="19" customFormat="false" ht="16.4" hidden="false" customHeight="false" outlineLevel="0" collapsed="false">
      <c r="B19" s="123" t="s">
        <v>146</v>
      </c>
      <c r="C19" s="3" t="s">
        <v>145</v>
      </c>
      <c r="D19" s="124" t="n">
        <v>1</v>
      </c>
      <c r="E19" s="125"/>
      <c r="F19" s="27"/>
      <c r="G19" s="27"/>
      <c r="H19" s="27"/>
      <c r="I19" s="28"/>
      <c r="J19" s="27"/>
      <c r="K19" s="27" t="n">
        <v>1</v>
      </c>
      <c r="L19" s="54" t="str">
        <f aca="false">IF(N19=0, "NOT STARTED",IF(N19&gt;D19, "ERROR TO MUCH WORK", IF(N19=D19, "DONE", "NOT ENOUGH WORK YET")))</f>
        <v>DONE</v>
      </c>
      <c r="M19" s="54"/>
      <c r="N19" s="3" t="n">
        <f aca="false">SUM(E19:K19)</f>
        <v>1</v>
      </c>
      <c r="O19" s="3" t="s">
        <v>132</v>
      </c>
      <c r="P19" s="3"/>
    </row>
    <row r="20" customFormat="false" ht="16.4" hidden="false" customHeight="false" outlineLevel="0" collapsed="false">
      <c r="B20" s="123" t="n">
        <v>39</v>
      </c>
      <c r="C20" s="119" t="s">
        <v>147</v>
      </c>
      <c r="D20" s="124" t="n">
        <v>3</v>
      </c>
      <c r="E20" s="125"/>
      <c r="F20" s="27"/>
      <c r="G20" s="27"/>
      <c r="H20" s="27"/>
      <c r="I20" s="28" t="n">
        <v>1</v>
      </c>
      <c r="J20" s="27" t="n">
        <v>1</v>
      </c>
      <c r="K20" s="27" t="n">
        <v>1</v>
      </c>
      <c r="L20" s="54" t="str">
        <f aca="false">IF(N20=0, "NOT STARTED",IF(N20&gt;D20, "ERROR TO MUCH WORK", IF(N20=D20, "DONE", "NOT ENOUGH WORK YET")))</f>
        <v>DONE</v>
      </c>
      <c r="M20" s="54"/>
      <c r="N20" s="3" t="n">
        <f aca="false">SUM(E20:K20)</f>
        <v>3</v>
      </c>
      <c r="O20" s="3" t="s">
        <v>45</v>
      </c>
      <c r="P20" s="3"/>
    </row>
    <row r="21" customFormat="false" ht="16.4" hidden="false" customHeight="false" outlineLevel="0" collapsed="false">
      <c r="B21" s="123" t="n">
        <v>40</v>
      </c>
      <c r="C21" s="119" t="s">
        <v>148</v>
      </c>
      <c r="D21" s="124" t="n">
        <v>3</v>
      </c>
      <c r="E21" s="125"/>
      <c r="F21" s="27"/>
      <c r="G21" s="27"/>
      <c r="H21" s="27"/>
      <c r="I21" s="28"/>
      <c r="J21" s="27" t="n">
        <v>2.5</v>
      </c>
      <c r="K21" s="27" t="n">
        <v>0.5</v>
      </c>
      <c r="L21" s="54" t="str">
        <f aca="false">IF(N21=0, "NOT STARTED",IF(N21&gt;D21, "ERROR TO MUCH WORK", IF(N21=D21, "DONE", "NOT ENOUGH WORK YET")))</f>
        <v>DONE</v>
      </c>
      <c r="M21" s="54"/>
      <c r="N21" s="3" t="n">
        <f aca="false">SUM(E21:K21)</f>
        <v>3</v>
      </c>
      <c r="O21" s="3" t="s">
        <v>40</v>
      </c>
      <c r="P21" s="3"/>
    </row>
    <row r="22" customFormat="false" ht="16.4" hidden="false" customHeight="false" outlineLevel="0" collapsed="false">
      <c r="B22" s="123" t="n">
        <v>41</v>
      </c>
      <c r="C22" s="119" t="s">
        <v>149</v>
      </c>
      <c r="D22" s="124" t="n">
        <v>2</v>
      </c>
      <c r="E22" s="125" t="n">
        <v>0.5</v>
      </c>
      <c r="F22" s="27" t="n">
        <v>0.5</v>
      </c>
      <c r="G22" s="27" t="n">
        <v>1</v>
      </c>
      <c r="H22" s="27"/>
      <c r="I22" s="28"/>
      <c r="J22" s="27"/>
      <c r="K22" s="27"/>
      <c r="L22" s="54" t="str">
        <f aca="false">IF(N22=0, "NOT STARTED",IF(N22&gt;D22, "ERROR TO MUCH WORK", IF(N22=D22, "DONE", "NOT ENOUGH WORK YET")))</f>
        <v>DONE</v>
      </c>
      <c r="M22" s="54"/>
      <c r="N22" s="3" t="n">
        <f aca="false">SUM(E22:K22)</f>
        <v>2</v>
      </c>
      <c r="O22" s="3" t="s">
        <v>45</v>
      </c>
      <c r="P22" s="3"/>
    </row>
    <row r="23" customFormat="false" ht="15.75" hidden="false" customHeight="true" outlineLevel="0" collapsed="false">
      <c r="B23" s="127" t="n">
        <v>42</v>
      </c>
      <c r="C23" s="128" t="s">
        <v>150</v>
      </c>
      <c r="D23" s="129" t="n">
        <v>2</v>
      </c>
      <c r="E23" s="130" t="n">
        <v>0.5</v>
      </c>
      <c r="F23" s="131" t="n">
        <v>0.5</v>
      </c>
      <c r="G23" s="131" t="n">
        <v>1</v>
      </c>
      <c r="H23" s="131"/>
      <c r="I23" s="132"/>
      <c r="J23" s="131"/>
      <c r="K23" s="131"/>
      <c r="L23" s="54" t="str">
        <f aca="false">IF(N23=0, "NOT STARTED",IF(N23&gt;D23, "ERROR TO MUCH WORK", IF(N23=D23, "DONE", "NOT ENOUGH WORK YET")))</f>
        <v>DONE</v>
      </c>
      <c r="M23" s="54"/>
      <c r="N23" s="3" t="n">
        <f aca="false">SUM(E23:K23)</f>
        <v>2</v>
      </c>
      <c r="O23" s="3" t="s">
        <v>40</v>
      </c>
      <c r="P23" s="3"/>
    </row>
    <row r="24" customFormat="false" ht="15.75" hidden="false" customHeight="true" outlineLevel="0" collapsed="false">
      <c r="B24" s="133" t="s">
        <v>24</v>
      </c>
      <c r="C24" s="133"/>
      <c r="D24" s="134" t="n">
        <v>0</v>
      </c>
      <c r="E24" s="135" t="n">
        <f aca="false">SUM(E6:E23)</f>
        <v>3</v>
      </c>
      <c r="F24" s="135" t="n">
        <f aca="false">SUM(F6:F23)</f>
        <v>3.25</v>
      </c>
      <c r="G24" s="135" t="n">
        <f aca="false">SUM(G6:G23)</f>
        <v>4.75</v>
      </c>
      <c r="H24" s="135" t="n">
        <f aca="false">SUM(H6:H23)</f>
        <v>3.5</v>
      </c>
      <c r="I24" s="135" t="n">
        <f aca="false">SUM(I6:I23)</f>
        <v>2</v>
      </c>
      <c r="J24" s="135" t="n">
        <f aca="false">SUM(J6:J23)</f>
        <v>4.75</v>
      </c>
      <c r="K24" s="135" t="n">
        <f aca="false">SUM(K6:K23)</f>
        <v>4.75</v>
      </c>
      <c r="L24" s="54"/>
      <c r="M24" s="54"/>
      <c r="N24" s="3"/>
      <c r="O24" s="3"/>
      <c r="P24" s="3"/>
    </row>
    <row r="25" customFormat="false" ht="15" hidden="false" customHeight="false" outlineLevel="0" collapsed="false">
      <c r="B25" s="136" t="s">
        <v>25</v>
      </c>
      <c r="C25" s="136"/>
      <c r="D25" s="137" t="n">
        <f aca="false">SUM(D6:D24)</f>
        <v>26</v>
      </c>
      <c r="E25" s="138" t="n">
        <f aca="false">D25-SUM(E6:E23)</f>
        <v>23</v>
      </c>
      <c r="F25" s="138" t="n">
        <f aca="false">E25-SUM(F6:F23)</f>
        <v>19.75</v>
      </c>
      <c r="G25" s="138" t="n">
        <f aca="false">F25-SUM(G6:G23)</f>
        <v>15</v>
      </c>
      <c r="H25" s="138" t="n">
        <f aca="false">G25-SUM(H6:H23)</f>
        <v>11.5</v>
      </c>
      <c r="I25" s="138" t="n">
        <f aca="false">H25-SUM(I6:I23)</f>
        <v>9.5</v>
      </c>
      <c r="J25" s="138" t="n">
        <f aca="false">I25-SUM(J6:J23)</f>
        <v>4.75</v>
      </c>
      <c r="K25" s="138" t="n">
        <f aca="false">J25-SUM(K6:K23)</f>
        <v>0</v>
      </c>
      <c r="L25" s="54"/>
      <c r="M25" s="54"/>
      <c r="N25" s="3"/>
      <c r="O25" s="3"/>
      <c r="P25" s="3"/>
    </row>
    <row r="26" customFormat="false" ht="15.75" hidden="false" customHeight="false" outlineLevel="0" collapsed="false">
      <c r="B26" s="139" t="s">
        <v>26</v>
      </c>
      <c r="C26" s="139"/>
      <c r="D26" s="140" t="n">
        <f aca="false">SUM(D6:D23)</f>
        <v>26</v>
      </c>
      <c r="E26" s="141" t="n">
        <f aca="false">$D$26-($D$26/7*1)</f>
        <v>22.2857142857143</v>
      </c>
      <c r="F26" s="141" t="n">
        <f aca="false">$D$26-($D$26/7*2)</f>
        <v>18.5714285714286</v>
      </c>
      <c r="G26" s="141" t="n">
        <f aca="false">$D$26-($D$26/7*3)</f>
        <v>14.8571428571429</v>
      </c>
      <c r="H26" s="141" t="n">
        <f aca="false">$D$26-($D$26/7*4)</f>
        <v>11.1428571428571</v>
      </c>
      <c r="I26" s="141" t="n">
        <f aca="false">$D$26-($D$26/7*5)</f>
        <v>7.42857142857143</v>
      </c>
      <c r="J26" s="141" t="n">
        <f aca="false">$D$26-($D$26/7*6)</f>
        <v>3.71428571428572</v>
      </c>
      <c r="K26" s="142" t="n">
        <f aca="false">$D$26-($D$26/7*7)</f>
        <v>0</v>
      </c>
      <c r="L26" s="54"/>
      <c r="M26" s="54"/>
      <c r="N26" s="3"/>
      <c r="O26" s="3"/>
      <c r="P26" s="3"/>
    </row>
    <row r="27" customFormat="false" ht="15" hidden="false" customHeight="false" outlineLevel="0" collapsed="false">
      <c r="B27" s="143"/>
      <c r="C27" s="54"/>
      <c r="D27" s="110"/>
      <c r="E27" s="110"/>
      <c r="F27" s="110"/>
      <c r="G27" s="110"/>
      <c r="H27" s="110"/>
      <c r="I27" s="110"/>
      <c r="J27" s="110"/>
      <c r="K27" s="110"/>
      <c r="L27" s="54"/>
      <c r="M27" s="54"/>
      <c r="N27" s="3"/>
      <c r="O27" s="3"/>
      <c r="P27" s="3"/>
    </row>
    <row r="28" customFormat="false" ht="15" hidden="false" customHeight="false" outlineLevel="0" collapsed="false">
      <c r="B28" s="143"/>
      <c r="C28" s="54"/>
      <c r="D28" s="110"/>
      <c r="E28" s="110"/>
      <c r="F28" s="110"/>
      <c r="G28" s="110"/>
      <c r="H28" s="110"/>
      <c r="I28" s="110"/>
      <c r="J28" s="110"/>
      <c r="K28" s="110"/>
      <c r="L28" s="54"/>
      <c r="M28" s="54"/>
      <c r="N28" s="3"/>
      <c r="O28" s="3"/>
      <c r="P28" s="3"/>
    </row>
    <row r="29" customFormat="false" ht="15" hidden="false" customHeight="false" outlineLevel="0" collapsed="false">
      <c r="B29" s="143"/>
      <c r="C29" s="54"/>
      <c r="D29" s="110"/>
      <c r="E29" s="110"/>
      <c r="F29" s="110"/>
      <c r="G29" s="110"/>
      <c r="H29" s="110"/>
      <c r="I29" s="110"/>
      <c r="J29" s="110"/>
      <c r="K29" s="110"/>
      <c r="L29" s="54"/>
      <c r="M29" s="54"/>
      <c r="N29" s="3"/>
      <c r="O29" s="3"/>
      <c r="P29" s="3"/>
    </row>
    <row r="30" customFormat="false" ht="15" hidden="false" customHeight="false" outlineLevel="0" collapsed="false">
      <c r="B30" s="143"/>
      <c r="C30" s="54"/>
      <c r="D30" s="110"/>
      <c r="E30" s="110"/>
      <c r="F30" s="110"/>
      <c r="G30" s="110"/>
      <c r="H30" s="110"/>
      <c r="I30" s="110"/>
      <c r="J30" s="110"/>
      <c r="K30" s="110"/>
      <c r="L30" s="54"/>
      <c r="M30" s="54"/>
      <c r="N30" s="3"/>
      <c r="O30" s="3"/>
      <c r="P30" s="3"/>
    </row>
    <row r="31" customFormat="false" ht="15" hidden="false" customHeight="false" outlineLevel="0" collapsed="false">
      <c r="B31" s="143"/>
      <c r="C31" s="54"/>
      <c r="D31" s="110"/>
      <c r="E31" s="110"/>
      <c r="F31" s="110"/>
      <c r="G31" s="110"/>
      <c r="H31" s="110"/>
      <c r="I31" s="110"/>
      <c r="J31" s="110"/>
      <c r="K31" s="110"/>
      <c r="L31" s="54"/>
      <c r="M31" s="54"/>
      <c r="N31" s="3"/>
      <c r="O31" s="3"/>
      <c r="P31" s="3"/>
    </row>
    <row r="32" customFormat="false" ht="15" hidden="false" customHeight="false" outlineLevel="0" collapsed="false">
      <c r="B32" s="143"/>
      <c r="C32" s="144"/>
      <c r="D32" s="110"/>
      <c r="E32" s="110"/>
      <c r="F32" s="110"/>
      <c r="G32" s="110"/>
      <c r="H32" s="110"/>
      <c r="I32" s="110"/>
      <c r="J32" s="110"/>
      <c r="K32" s="110"/>
      <c r="L32" s="54"/>
      <c r="M32" s="54"/>
      <c r="N32" s="3"/>
      <c r="O32" s="3"/>
      <c r="P32" s="3"/>
    </row>
    <row r="33" customFormat="false" ht="15" hidden="false" customHeight="false" outlineLevel="0" collapsed="false">
      <c r="B33" s="143"/>
      <c r="C33" s="144"/>
      <c r="D33" s="110"/>
      <c r="E33" s="110"/>
      <c r="F33" s="110"/>
      <c r="G33" s="110"/>
      <c r="H33" s="110"/>
      <c r="I33" s="110"/>
      <c r="J33" s="110"/>
      <c r="K33" s="110"/>
      <c r="L33" s="54"/>
      <c r="M33" s="54"/>
      <c r="N33" s="3"/>
      <c r="O33" s="3"/>
      <c r="P33" s="3"/>
    </row>
    <row r="34" customFormat="false" ht="15" hidden="false" customHeight="false" outlineLevel="0" collapsed="false">
      <c r="B34" s="143"/>
      <c r="C34" s="144"/>
      <c r="D34" s="110"/>
      <c r="E34" s="110"/>
      <c r="F34" s="110"/>
      <c r="G34" s="110"/>
      <c r="H34" s="110"/>
      <c r="I34" s="110"/>
      <c r="J34" s="110"/>
      <c r="K34" s="110"/>
      <c r="L34" s="54"/>
      <c r="M34" s="54"/>
      <c r="N34" s="3"/>
      <c r="O34" s="3"/>
      <c r="P34" s="3"/>
    </row>
    <row r="35" customFormat="false" ht="15" hidden="false" customHeight="false" outlineLevel="0" collapsed="false">
      <c r="B35" s="143"/>
      <c r="C35" s="144"/>
      <c r="D35" s="110"/>
      <c r="E35" s="110"/>
      <c r="F35" s="110"/>
      <c r="G35" s="110"/>
      <c r="H35" s="110"/>
      <c r="I35" s="110"/>
      <c r="J35" s="110"/>
      <c r="K35" s="110"/>
      <c r="L35" s="54"/>
      <c r="M35" s="54"/>
      <c r="N35" s="3"/>
      <c r="O35" s="3"/>
      <c r="P35" s="3"/>
    </row>
    <row r="36" customFormat="false" ht="15" hidden="false" customHeight="false" outlineLevel="0" collapsed="false">
      <c r="B36" s="143"/>
      <c r="C36" s="144"/>
      <c r="D36" s="110"/>
      <c r="E36" s="110"/>
      <c r="F36" s="110"/>
      <c r="G36" s="110"/>
      <c r="H36" s="110"/>
      <c r="I36" s="110"/>
      <c r="J36" s="110"/>
      <c r="K36" s="110"/>
      <c r="L36" s="54"/>
      <c r="M36" s="54"/>
      <c r="N36" s="3"/>
      <c r="O36" s="3"/>
      <c r="P36" s="3"/>
    </row>
    <row r="37" customFormat="false" ht="15" hidden="false" customHeight="false" outlineLevel="0" collapsed="false">
      <c r="B37" s="143"/>
      <c r="C37" s="144"/>
      <c r="D37" s="110"/>
      <c r="E37" s="110"/>
      <c r="F37" s="110"/>
      <c r="G37" s="110"/>
      <c r="H37" s="110"/>
      <c r="I37" s="110"/>
      <c r="J37" s="110"/>
      <c r="K37" s="110"/>
      <c r="L37" s="54"/>
      <c r="M37" s="54"/>
      <c r="N37" s="3"/>
      <c r="O37" s="3"/>
      <c r="P37" s="3"/>
    </row>
  </sheetData>
  <mergeCells count="39">
    <mergeCell ref="B2:K2"/>
    <mergeCell ref="E3:K3"/>
    <mergeCell ref="B4:B5"/>
    <mergeCell ref="C4:C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B24:C24"/>
    <mergeCell ref="L24:M24"/>
    <mergeCell ref="B25:C25"/>
    <mergeCell ref="L25:M25"/>
    <mergeCell ref="B26:C26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</mergeCells>
  <conditionalFormatting sqref="L6:L37">
    <cfRule type="cellIs" priority="2" operator="equal" aboveAverage="0" equalAverage="0" bottom="0" percent="0" rank="0" text="" dxfId="8">
      <formula>"DONE"</formula>
    </cfRule>
  </conditionalFormatting>
  <conditionalFormatting sqref="L6:M37">
    <cfRule type="cellIs" priority="3" operator="equal" aboveAverage="0" equalAverage="0" bottom="0" percent="0" rank="0" text="" dxfId="9">
      <formula>"NOT ENOUGH WORK YET"</formula>
    </cfRule>
    <cfRule type="cellIs" priority="4" operator="equal" aboveAverage="0" equalAverage="0" bottom="0" percent="0" rank="0" text="" dxfId="10">
      <formula>"ERROR TO MUCH WORK"</formula>
    </cfRule>
    <cfRule type="cellIs" priority="5" operator="equal" aboveAverage="0" equalAverage="0" bottom="0" percent="0" rank="0" text="" dxfId="11">
      <formula>"NOT STARTED"</formula>
    </cfRule>
  </conditionalFormatting>
  <conditionalFormatting sqref="N6:N37">
    <cfRule type="colorScale" priority="6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979"/>
  <sheetViews>
    <sheetView showFormulas="false" showGridLines="true" showRowColHeaders="true" showZeros="true" rightToLeft="false" tabSelected="true" showOutlineSymbols="true" defaultGridColor="true" view="normal" topLeftCell="A4" colorId="64" zoomScale="85" zoomScaleNormal="85" zoomScalePageLayoutView="100" workbookViewId="0">
      <selection pane="topLeft" activeCell="N20" activeCellId="0" sqref="N2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8.72"/>
    <col collapsed="false" customWidth="true" hidden="false" outlineLevel="0" max="2" min="2" style="1" width="7.15"/>
    <col collapsed="false" customWidth="true" hidden="false" outlineLevel="0" max="3" min="3" style="1" width="20.18"/>
    <col collapsed="false" customWidth="true" hidden="false" outlineLevel="0" max="4" min="4" style="1" width="15.72"/>
    <col collapsed="false" customWidth="true" hidden="false" outlineLevel="0" max="17" min="5" style="1" width="10"/>
  </cols>
  <sheetData>
    <row r="1" customFormat="false" ht="14.25" hidden="false" customHeight="true" outlineLevel="0" collapsed="false">
      <c r="C1" s="55"/>
    </row>
    <row r="2" customFormat="false" ht="23.25" hidden="false" customHeight="true" outlineLevel="0" collapsed="false">
      <c r="B2" s="51" t="s">
        <v>151</v>
      </c>
      <c r="C2" s="51"/>
      <c r="D2" s="51"/>
      <c r="E2" s="51"/>
      <c r="F2" s="51"/>
      <c r="G2" s="51"/>
      <c r="H2" s="51"/>
      <c r="I2" s="51"/>
      <c r="J2" s="51"/>
      <c r="K2" s="51"/>
      <c r="L2" s="54"/>
      <c r="M2" s="54"/>
      <c r="N2" s="54"/>
      <c r="O2" s="54"/>
      <c r="Q2" s="3"/>
    </row>
    <row r="3" customFormat="false" ht="14.25" hidden="false" customHeight="true" outlineLevel="0" collapsed="false">
      <c r="B3" s="52"/>
      <c r="C3" s="55"/>
      <c r="D3" s="53"/>
      <c r="E3" s="6" t="s">
        <v>115</v>
      </c>
      <c r="F3" s="6"/>
      <c r="G3" s="6"/>
      <c r="H3" s="6"/>
      <c r="I3" s="6"/>
      <c r="J3" s="6"/>
      <c r="K3" s="6"/>
      <c r="L3" s="145"/>
      <c r="M3" s="145"/>
      <c r="N3" s="145"/>
      <c r="O3" s="145"/>
      <c r="P3" s="7"/>
    </row>
    <row r="4" customFormat="false" ht="14.25" hidden="false" customHeight="true" outlineLevel="0" collapsed="false">
      <c r="B4" s="8" t="s">
        <v>2</v>
      </c>
      <c r="C4" s="9" t="s">
        <v>3</v>
      </c>
      <c r="D4" s="10" t="s">
        <v>4</v>
      </c>
      <c r="E4" s="11" t="n">
        <v>45985</v>
      </c>
      <c r="F4" s="11" t="n">
        <v>45986</v>
      </c>
      <c r="G4" s="11" t="n">
        <v>45987</v>
      </c>
      <c r="H4" s="11" t="n">
        <v>45988</v>
      </c>
      <c r="I4" s="11" t="n">
        <v>45989</v>
      </c>
      <c r="J4" s="11" t="n">
        <v>45990</v>
      </c>
      <c r="K4" s="11" t="n">
        <v>45991</v>
      </c>
      <c r="L4" s="11" t="n">
        <v>45992</v>
      </c>
      <c r="M4" s="11" t="n">
        <v>45993</v>
      </c>
      <c r="N4" s="11" t="n">
        <v>45994</v>
      </c>
      <c r="O4" s="11" t="n">
        <v>45995</v>
      </c>
    </row>
    <row r="5" customFormat="false" ht="14.25" hidden="false" customHeight="true" outlineLevel="0" collapsed="false">
      <c r="B5" s="8"/>
      <c r="C5" s="9"/>
      <c r="D5" s="13" t="s">
        <v>5</v>
      </c>
      <c r="E5" s="14" t="s">
        <v>6</v>
      </c>
      <c r="F5" s="15" t="s">
        <v>7</v>
      </c>
      <c r="G5" s="15" t="s">
        <v>8</v>
      </c>
      <c r="H5" s="15" t="s">
        <v>9</v>
      </c>
      <c r="I5" s="16" t="s">
        <v>10</v>
      </c>
      <c r="J5" s="15" t="s">
        <v>11</v>
      </c>
      <c r="K5" s="16" t="s">
        <v>12</v>
      </c>
      <c r="L5" s="16" t="s">
        <v>13</v>
      </c>
      <c r="M5" s="16" t="s">
        <v>14</v>
      </c>
      <c r="N5" s="16" t="s">
        <v>15</v>
      </c>
      <c r="O5" s="16" t="s">
        <v>16</v>
      </c>
    </row>
    <row r="6" customFormat="false" ht="29.85" hidden="false" customHeight="true" outlineLevel="0" collapsed="false">
      <c r="B6" s="24" t="n">
        <v>43.1</v>
      </c>
      <c r="C6" s="55" t="s">
        <v>152</v>
      </c>
      <c r="D6" s="25" t="n">
        <v>99</v>
      </c>
      <c r="E6" s="26"/>
      <c r="F6" s="27" t="n">
        <v>0.5</v>
      </c>
      <c r="G6" s="27" t="n">
        <v>0.5</v>
      </c>
      <c r="H6" s="27" t="n">
        <v>0.5</v>
      </c>
      <c r="I6" s="28" t="n">
        <v>0.5</v>
      </c>
      <c r="J6" s="27" t="n">
        <v>0.5</v>
      </c>
      <c r="K6" s="27" t="n">
        <v>0.5</v>
      </c>
      <c r="L6" s="27" t="n">
        <v>0.5</v>
      </c>
      <c r="M6" s="27" t="n">
        <v>0.5</v>
      </c>
      <c r="N6" s="27" t="n">
        <v>0.5</v>
      </c>
      <c r="O6" s="27"/>
      <c r="P6" s="54" t="str">
        <f aca="false">IF(R6=0, "NOT STARTED",IF(R6&gt;D6, "ERROR TO MUCH WORK", IF(R6=D6, "DONE", "NOT ENOUGH WORK YET")))</f>
        <v>NOT ENOUGH WORK YET</v>
      </c>
      <c r="Q6" s="54"/>
      <c r="R6" s="3" t="n">
        <f aca="false">SUM(E6:O6)</f>
        <v>4.5</v>
      </c>
      <c r="S6" s="3" t="s">
        <v>42</v>
      </c>
      <c r="T6" s="3"/>
    </row>
    <row r="7" customFormat="false" ht="38.45" hidden="false" customHeight="true" outlineLevel="0" collapsed="false">
      <c r="B7" s="24" t="n">
        <v>43.2</v>
      </c>
      <c r="C7" s="55" t="s">
        <v>152</v>
      </c>
      <c r="D7" s="25" t="n">
        <v>99</v>
      </c>
      <c r="E7" s="30"/>
      <c r="F7" s="27" t="n">
        <v>0.5</v>
      </c>
      <c r="G7" s="27" t="n">
        <v>0.5</v>
      </c>
      <c r="H7" s="27" t="n">
        <v>0.5</v>
      </c>
      <c r="I7" s="28" t="n">
        <v>0.5</v>
      </c>
      <c r="J7" s="27" t="n">
        <v>0.5</v>
      </c>
      <c r="K7" s="27" t="n">
        <v>0.5</v>
      </c>
      <c r="L7" s="27" t="n">
        <v>0.5</v>
      </c>
      <c r="M7" s="27" t="n">
        <v>0.5</v>
      </c>
      <c r="N7" s="27" t="n">
        <v>0.5</v>
      </c>
      <c r="O7" s="27"/>
      <c r="P7" s="54" t="str">
        <f aca="false">IF(R7=0, "NOT STARTED",IF(R7&gt;D7, "ERROR TO MUCH WORK", IF(R7=D7, "DONE", "NOT ENOUGH WORK YET")))</f>
        <v>NOT ENOUGH WORK YET</v>
      </c>
      <c r="Q7" s="54"/>
      <c r="R7" s="3" t="n">
        <f aca="false">SUM(E7:O7)</f>
        <v>4.5</v>
      </c>
      <c r="S7" s="3" t="s">
        <v>48</v>
      </c>
      <c r="T7" s="3"/>
    </row>
    <row r="8" customFormat="false" ht="36.9" hidden="false" customHeight="true" outlineLevel="0" collapsed="false">
      <c r="B8" s="24" t="n">
        <v>44.1</v>
      </c>
      <c r="C8" s="55" t="s">
        <v>153</v>
      </c>
      <c r="D8" s="25" t="n">
        <v>1.5</v>
      </c>
      <c r="E8" s="30"/>
      <c r="F8" s="27"/>
      <c r="G8" s="27" t="n">
        <v>0.5</v>
      </c>
      <c r="H8" s="27" t="n">
        <v>0.5</v>
      </c>
      <c r="I8" s="28" t="n">
        <v>0.5</v>
      </c>
      <c r="J8" s="27"/>
      <c r="K8" s="27"/>
      <c r="L8" s="27"/>
      <c r="M8" s="27"/>
      <c r="N8" s="27"/>
      <c r="O8" s="27"/>
      <c r="P8" s="54" t="str">
        <f aca="false">IF(R8=0, "NOT STARTED",IF(R8&gt;D8, "ERROR TO MUCH WORK", IF(R8=D8, "DONE", "NOT ENOUGH WORK YET")))</f>
        <v>DONE</v>
      </c>
      <c r="Q8" s="54"/>
      <c r="R8" s="3" t="n">
        <f aca="false">SUM(E8:O8)</f>
        <v>1.5</v>
      </c>
      <c r="S8" s="3" t="s">
        <v>38</v>
      </c>
      <c r="T8" s="3"/>
    </row>
    <row r="9" customFormat="false" ht="43.2" hidden="false" customHeight="true" outlineLevel="0" collapsed="false">
      <c r="B9" s="24" t="n">
        <v>44.2</v>
      </c>
      <c r="C9" s="55" t="s">
        <v>153</v>
      </c>
      <c r="D9" s="25" t="n">
        <v>1.5</v>
      </c>
      <c r="E9" s="30"/>
      <c r="F9" s="27"/>
      <c r="G9" s="27" t="n">
        <v>0.5</v>
      </c>
      <c r="H9" s="27" t="n">
        <v>0.5</v>
      </c>
      <c r="I9" s="28" t="n">
        <v>0.5</v>
      </c>
      <c r="J9" s="27"/>
      <c r="K9" s="27"/>
      <c r="L9" s="27"/>
      <c r="M9" s="27"/>
      <c r="N9" s="27"/>
      <c r="O9" s="27"/>
      <c r="P9" s="54" t="str">
        <f aca="false">IF(R9=0, "NOT STARTED",IF(R9&gt;D9, "ERROR TO MUCH WORK", IF(R9=D9, "DONE", "NOT ENOUGH WORK YET")))</f>
        <v>DONE</v>
      </c>
      <c r="Q9" s="54"/>
      <c r="R9" s="3" t="n">
        <f aca="false">SUM(E9:O9)</f>
        <v>1.5</v>
      </c>
      <c r="S9" s="3" t="s">
        <v>50</v>
      </c>
      <c r="T9" s="3"/>
    </row>
    <row r="10" customFormat="false" ht="37.7" hidden="false" customHeight="true" outlineLevel="0" collapsed="false">
      <c r="B10" s="24" t="n">
        <v>45.1</v>
      </c>
      <c r="C10" s="55" t="s">
        <v>154</v>
      </c>
      <c r="D10" s="19" t="n">
        <v>99</v>
      </c>
      <c r="E10" s="30" t="n">
        <v>0.5</v>
      </c>
      <c r="F10" s="27" t="n">
        <v>0.5</v>
      </c>
      <c r="G10" s="27" t="n">
        <v>0.5</v>
      </c>
      <c r="H10" s="27" t="n">
        <v>0.5</v>
      </c>
      <c r="I10" s="28" t="n">
        <v>0.5</v>
      </c>
      <c r="J10" s="27" t="n">
        <v>0.5</v>
      </c>
      <c r="K10" s="27" t="n">
        <v>0.5</v>
      </c>
      <c r="L10" s="27" t="n">
        <v>0.5</v>
      </c>
      <c r="M10" s="27" t="n">
        <v>0.5</v>
      </c>
      <c r="N10" s="27" t="n">
        <v>0.5</v>
      </c>
      <c r="O10" s="27"/>
      <c r="P10" s="54" t="str">
        <f aca="false">IF(R10=0, "NOT STARTED",IF(R10&gt;D10, "ERROR TO MUCH WORK", IF(R10=D10, "DONE", "NOT ENOUGH WORK YET")))</f>
        <v>NOT ENOUGH WORK YET</v>
      </c>
      <c r="Q10" s="54"/>
      <c r="R10" s="3" t="n">
        <f aca="false">SUM(E10:O10)</f>
        <v>5</v>
      </c>
      <c r="S10" s="3" t="s">
        <v>42</v>
      </c>
      <c r="T10" s="3"/>
    </row>
    <row r="11" customFormat="false" ht="33.75" hidden="false" customHeight="true" outlineLevel="0" collapsed="false">
      <c r="B11" s="24" t="n">
        <v>45.2</v>
      </c>
      <c r="C11" s="55" t="s">
        <v>154</v>
      </c>
      <c r="D11" s="25" t="n">
        <v>99</v>
      </c>
      <c r="E11" s="30" t="n">
        <v>0.5</v>
      </c>
      <c r="F11" s="27" t="n">
        <v>0.5</v>
      </c>
      <c r="G11" s="27" t="n">
        <v>0.5</v>
      </c>
      <c r="H11" s="27" t="n">
        <v>0.5</v>
      </c>
      <c r="I11" s="28" t="n">
        <v>0.5</v>
      </c>
      <c r="J11" s="27" t="n">
        <v>0.5</v>
      </c>
      <c r="K11" s="27" t="n">
        <v>0.5</v>
      </c>
      <c r="L11" s="27" t="n">
        <v>0.5</v>
      </c>
      <c r="M11" s="27" t="n">
        <v>0.5</v>
      </c>
      <c r="N11" s="27" t="n">
        <v>0.5</v>
      </c>
      <c r="O11" s="27"/>
      <c r="P11" s="108" t="str">
        <f aca="false">IF(R11=0, "NOT STARTED",IF(R11&gt;D11, "ERROR TO MUCH WORK", IF(R11=D11, "DONE", "NOT ENOUGH WORK YET")))</f>
        <v>NOT ENOUGH WORK YET</v>
      </c>
      <c r="Q11" s="108"/>
      <c r="R11" s="3" t="n">
        <f aca="false">SUM(E11:O11)</f>
        <v>5</v>
      </c>
      <c r="S11" s="3" t="s">
        <v>48</v>
      </c>
      <c r="T11" s="3"/>
    </row>
    <row r="12" customFormat="false" ht="31.6" hidden="false" customHeight="true" outlineLevel="0" collapsed="false">
      <c r="B12" s="24" t="n">
        <v>46.1</v>
      </c>
      <c r="C12" s="55" t="s">
        <v>155</v>
      </c>
      <c r="D12" s="109" t="n">
        <v>2.5</v>
      </c>
      <c r="E12" s="30"/>
      <c r="F12" s="27"/>
      <c r="G12" s="27"/>
      <c r="H12" s="27"/>
      <c r="I12" s="28" t="n">
        <v>0.2</v>
      </c>
      <c r="J12" s="27" t="n">
        <v>0.3</v>
      </c>
      <c r="K12" s="27" t="n">
        <v>0.5</v>
      </c>
      <c r="L12" s="27" t="n">
        <v>0.5</v>
      </c>
      <c r="M12" s="27" t="n">
        <v>0.5</v>
      </c>
      <c r="N12" s="27" t="n">
        <v>0.5</v>
      </c>
      <c r="O12" s="27"/>
      <c r="P12" s="54" t="str">
        <f aca="false">IF(R12=0, "NOT STARTED",IF(R12&gt;D12, "ERROR TO MUCH WORK", IF(R12=D12, "DONE", "NOT ENOUGH WORK YET")))</f>
        <v>DONE</v>
      </c>
      <c r="Q12" s="54"/>
      <c r="R12" s="3" t="n">
        <f aca="false">SUM(E12:O12)</f>
        <v>2.5</v>
      </c>
      <c r="S12" s="3" t="s">
        <v>38</v>
      </c>
      <c r="T12" s="3"/>
    </row>
    <row r="13" customFormat="false" ht="31.6" hidden="false" customHeight="true" outlineLevel="0" collapsed="false">
      <c r="B13" s="24" t="n">
        <v>46.2</v>
      </c>
      <c r="C13" s="55" t="s">
        <v>155</v>
      </c>
      <c r="D13" s="109" t="n">
        <v>2.5</v>
      </c>
      <c r="E13" s="30"/>
      <c r="F13" s="27"/>
      <c r="G13" s="27"/>
      <c r="H13" s="27"/>
      <c r="I13" s="28" t="n">
        <v>0.2</v>
      </c>
      <c r="J13" s="27" t="n">
        <v>0.3</v>
      </c>
      <c r="K13" s="27" t="n">
        <v>0.5</v>
      </c>
      <c r="L13" s="27" t="n">
        <v>0.5</v>
      </c>
      <c r="M13" s="27" t="n">
        <v>0.5</v>
      </c>
      <c r="N13" s="27" t="n">
        <v>0.5</v>
      </c>
      <c r="O13" s="27"/>
      <c r="P13" s="108" t="str">
        <f aca="false">IF(R13=0, "NOT STARTED",IF(R13&gt;D13, "ERROR TO MUCH WORK", IF(R13=D13, "DONE", "NOT ENOUGH WORK YET")))</f>
        <v>DONE</v>
      </c>
      <c r="Q13" s="108"/>
      <c r="R13" s="3" t="n">
        <f aca="false">SUM(E13:O13)</f>
        <v>2.5</v>
      </c>
      <c r="S13" s="3" t="s">
        <v>48</v>
      </c>
      <c r="T13" s="3"/>
    </row>
    <row r="14" customFormat="false" ht="32.45" hidden="false" customHeight="true" outlineLevel="0" collapsed="false">
      <c r="B14" s="24" t="n">
        <v>47</v>
      </c>
      <c r="C14" s="55" t="s">
        <v>156</v>
      </c>
      <c r="D14" s="109" t="n">
        <v>1.5</v>
      </c>
      <c r="E14" s="30" t="n">
        <v>0.2</v>
      </c>
      <c r="F14" s="27" t="n">
        <v>0.2</v>
      </c>
      <c r="G14" s="27" t="n">
        <v>0.2</v>
      </c>
      <c r="H14" s="27" t="n">
        <v>0.2</v>
      </c>
      <c r="I14" s="28" t="n">
        <v>0.2</v>
      </c>
      <c r="J14" s="27" t="n">
        <v>0.5</v>
      </c>
      <c r="K14" s="27"/>
      <c r="L14" s="27"/>
      <c r="M14" s="27"/>
      <c r="N14" s="27"/>
      <c r="O14" s="27"/>
      <c r="P14" s="108" t="str">
        <f aca="false">IF(R14=0, "NOT STARTED",IF(R14&gt;D14, "ERROR TO MUCH WORK", IF(R14=D14, "DONE", "NOT ENOUGH WORK YET")))</f>
        <v>DONE</v>
      </c>
      <c r="Q14" s="108"/>
      <c r="R14" s="3" t="n">
        <f aca="false">SUM(E14:O14)</f>
        <v>1.5</v>
      </c>
      <c r="S14" s="3" t="s">
        <v>45</v>
      </c>
      <c r="T14" s="3"/>
    </row>
    <row r="15" customFormat="false" ht="31.6" hidden="false" customHeight="true" outlineLevel="0" collapsed="false">
      <c r="B15" s="24" t="n">
        <v>48</v>
      </c>
      <c r="C15" s="55" t="s">
        <v>157</v>
      </c>
      <c r="D15" s="109" t="n">
        <v>1.5</v>
      </c>
      <c r="E15" s="30"/>
      <c r="F15" s="27" t="n">
        <v>0.5</v>
      </c>
      <c r="G15" s="27" t="n">
        <v>0.7</v>
      </c>
      <c r="H15" s="27" t="n">
        <v>0.3</v>
      </c>
      <c r="I15" s="28"/>
      <c r="J15" s="27"/>
      <c r="K15" s="27"/>
      <c r="L15" s="27"/>
      <c r="M15" s="27"/>
      <c r="N15" s="27"/>
      <c r="O15" s="27"/>
      <c r="P15" s="108" t="str">
        <f aca="false">IF(R15=0, "NOT STARTED",IF(R15&gt;D15, "ERROR TO MUCH WORK", IF(R15=D15, "DONE", "NOT ENOUGH WORK YET")))</f>
        <v>DONE</v>
      </c>
      <c r="Q15" s="108"/>
      <c r="R15" s="3" t="n">
        <f aca="false">SUM(E15:O15)</f>
        <v>1.5</v>
      </c>
      <c r="S15" s="3" t="s">
        <v>40</v>
      </c>
      <c r="T15" s="3"/>
    </row>
    <row r="16" customFormat="false" ht="31.6" hidden="false" customHeight="true" outlineLevel="0" collapsed="false">
      <c r="B16" s="24" t="n">
        <v>49.1</v>
      </c>
      <c r="C16" s="55" t="s">
        <v>158</v>
      </c>
      <c r="D16" s="109" t="n">
        <v>99</v>
      </c>
      <c r="E16" s="30"/>
      <c r="F16" s="27"/>
      <c r="G16" s="27"/>
      <c r="H16" s="27"/>
      <c r="I16" s="28"/>
      <c r="J16" s="27"/>
      <c r="K16" s="27"/>
      <c r="L16" s="27" t="n">
        <v>0.5</v>
      </c>
      <c r="M16" s="27" t="n">
        <v>0.5</v>
      </c>
      <c r="N16" s="27" t="n">
        <v>0.5</v>
      </c>
      <c r="O16" s="27"/>
      <c r="P16" s="108" t="str">
        <f aca="false">IF(R16=0, "NOT STARTED",IF(R16&gt;D16, "ERROR TO MUCH WORK", IF(R16=D16, "DONE", "NOT ENOUGH WORK YET")))</f>
        <v>NOT ENOUGH WORK YET</v>
      </c>
      <c r="Q16" s="108"/>
      <c r="R16" s="3" t="n">
        <f aca="false">SUM(E16:O16)</f>
        <v>1.5</v>
      </c>
      <c r="S16" s="1" t="s">
        <v>42</v>
      </c>
    </row>
    <row r="17" customFormat="false" ht="31.6" hidden="false" customHeight="true" outlineLevel="0" collapsed="false">
      <c r="B17" s="24" t="n">
        <v>49.2</v>
      </c>
      <c r="C17" s="55" t="s">
        <v>158</v>
      </c>
      <c r="D17" s="109" t="n">
        <v>99</v>
      </c>
      <c r="E17" s="30"/>
      <c r="F17" s="27"/>
      <c r="G17" s="27"/>
      <c r="H17" s="27"/>
      <c r="I17" s="28"/>
      <c r="J17" s="27"/>
      <c r="K17" s="27"/>
      <c r="L17" s="27" t="n">
        <v>0.5</v>
      </c>
      <c r="M17" s="27" t="n">
        <v>0.5</v>
      </c>
      <c r="N17" s="27" t="n">
        <v>0.5</v>
      </c>
      <c r="O17" s="27"/>
      <c r="P17" s="108" t="str">
        <f aca="false">IF(R17=0, "NOT STARTED",IF(R17&gt;D17, "ERROR TO MUCH WORK", IF(R17=D17, "DONE", "NOT ENOUGH WORK YET")))</f>
        <v>NOT ENOUGH WORK YET</v>
      </c>
      <c r="Q17" s="108"/>
      <c r="R17" s="3" t="n">
        <f aca="false">SUM(E17:O17)</f>
        <v>1.5</v>
      </c>
      <c r="S17" s="1" t="s">
        <v>48</v>
      </c>
    </row>
    <row r="18" customFormat="false" ht="31.6" hidden="false" customHeight="true" outlineLevel="0" collapsed="false">
      <c r="B18" s="24" t="n">
        <v>50.1</v>
      </c>
      <c r="C18" s="55" t="s">
        <v>159</v>
      </c>
      <c r="D18" s="109" t="n">
        <v>2</v>
      </c>
      <c r="E18" s="30"/>
      <c r="F18" s="27"/>
      <c r="G18" s="27"/>
      <c r="H18" s="27"/>
      <c r="I18" s="28"/>
      <c r="J18" s="27"/>
      <c r="K18" s="27"/>
      <c r="L18" s="27" t="n">
        <v>1</v>
      </c>
      <c r="M18" s="27" t="n">
        <v>1</v>
      </c>
      <c r="N18" s="27"/>
      <c r="O18" s="27"/>
      <c r="P18" s="108" t="str">
        <f aca="false">IF(R18=0, "NOT STARTED",IF(R18&gt;D18, "ERROR TO MUCH WORK", IF(R18=D18, "DONE", "NOT ENOUGH WORK YET")))</f>
        <v>DONE</v>
      </c>
      <c r="Q18" s="108"/>
      <c r="R18" s="3" t="n">
        <f aca="false">SUM(E18:O18)</f>
        <v>2</v>
      </c>
      <c r="S18" s="1" t="s">
        <v>38</v>
      </c>
    </row>
    <row r="19" customFormat="false" ht="31.6" hidden="false" customHeight="true" outlineLevel="0" collapsed="false">
      <c r="B19" s="24" t="n">
        <v>50.2</v>
      </c>
      <c r="C19" s="55" t="s">
        <v>159</v>
      </c>
      <c r="D19" s="109" t="n">
        <v>2</v>
      </c>
      <c r="E19" s="30"/>
      <c r="F19" s="27"/>
      <c r="G19" s="27"/>
      <c r="H19" s="27"/>
      <c r="I19" s="28"/>
      <c r="J19" s="27"/>
      <c r="K19" s="27"/>
      <c r="L19" s="27" t="n">
        <v>1</v>
      </c>
      <c r="M19" s="27" t="n">
        <v>1</v>
      </c>
      <c r="N19" s="27"/>
      <c r="O19" s="27"/>
      <c r="P19" s="108" t="str">
        <f aca="false">IF(R19=0, "NOT STARTED",IF(R19&gt;D19, "ERROR TO MUCH WORK", IF(R19=D19, "DONE", "NOT ENOUGH WORK YET")))</f>
        <v>DONE</v>
      </c>
      <c r="Q19" s="108"/>
      <c r="R19" s="3" t="n">
        <f aca="false">SUM(E19:O19)</f>
        <v>2</v>
      </c>
      <c r="S19" s="1" t="s">
        <v>50</v>
      </c>
    </row>
    <row r="20" customFormat="false" ht="31.6" hidden="false" customHeight="true" outlineLevel="0" collapsed="false">
      <c r="B20" s="24" t="n">
        <v>51</v>
      </c>
      <c r="C20" s="55" t="s">
        <v>160</v>
      </c>
      <c r="D20" s="109" t="n">
        <v>99</v>
      </c>
      <c r="E20" s="30"/>
      <c r="F20" s="27" t="n">
        <v>0.5</v>
      </c>
      <c r="G20" s="27" t="n">
        <v>0.5</v>
      </c>
      <c r="H20" s="27" t="n">
        <v>0.5</v>
      </c>
      <c r="I20" s="28" t="n">
        <v>0.5</v>
      </c>
      <c r="J20" s="27" t="n">
        <v>0.5</v>
      </c>
      <c r="K20" s="27" t="n">
        <v>0.5</v>
      </c>
      <c r="L20" s="27" t="n">
        <v>0.5</v>
      </c>
      <c r="M20" s="27" t="n">
        <v>0.5</v>
      </c>
      <c r="N20" s="27" t="n">
        <v>0.5</v>
      </c>
      <c r="O20" s="27"/>
      <c r="P20" s="108" t="str">
        <f aca="false">IF(R20=0, "NOT STARTED",IF(R20&gt;D20, "ERROR TO MUCH WORK", IF(R20=D20, "DONE", "NOT ENOUGH WORK YET")))</f>
        <v>NOT ENOUGH WORK YET</v>
      </c>
      <c r="Q20" s="108"/>
      <c r="R20" s="3" t="n">
        <f aca="false">SUM(E20:O20)</f>
        <v>4.5</v>
      </c>
      <c r="S20" s="3" t="s">
        <v>45</v>
      </c>
    </row>
    <row r="21" customFormat="false" ht="33.75" hidden="false" customHeight="true" outlineLevel="0" collapsed="false">
      <c r="B21" s="24" t="n">
        <v>52</v>
      </c>
      <c r="C21" s="55" t="s">
        <v>161</v>
      </c>
      <c r="D21" s="109" t="n">
        <v>1</v>
      </c>
      <c r="E21" s="30" t="n">
        <v>1</v>
      </c>
      <c r="F21" s="27"/>
      <c r="G21" s="27"/>
      <c r="H21" s="27"/>
      <c r="I21" s="28"/>
      <c r="J21" s="27"/>
      <c r="K21" s="27"/>
      <c r="L21" s="27"/>
      <c r="M21" s="27"/>
      <c r="N21" s="27"/>
      <c r="O21" s="27"/>
      <c r="P21" s="108" t="str">
        <f aca="false">IF(R21=0, "NOT STARTED",IF(R21&gt;D21, "ERROR TO MUCH WORK", IF(R21=D21, "DONE", "NOT ENOUGH WORK YET")))</f>
        <v>DONE</v>
      </c>
      <c r="Q21" s="108"/>
      <c r="R21" s="3" t="n">
        <f aca="false">SUM(E21:O21)</f>
        <v>1</v>
      </c>
      <c r="S21" s="3" t="s">
        <v>40</v>
      </c>
    </row>
    <row r="22" customFormat="false" ht="33.75" hidden="false" customHeight="true" outlineLevel="0" collapsed="false">
      <c r="B22" s="24" t="n">
        <v>53.1</v>
      </c>
      <c r="C22" s="55" t="s">
        <v>162</v>
      </c>
      <c r="D22" s="109" t="n">
        <v>1</v>
      </c>
      <c r="E22" s="30"/>
      <c r="F22" s="27"/>
      <c r="G22" s="27"/>
      <c r="H22" s="27"/>
      <c r="I22" s="28"/>
      <c r="J22" s="27"/>
      <c r="K22" s="27" t="n">
        <v>0.5</v>
      </c>
      <c r="L22" s="27" t="n">
        <v>0.5</v>
      </c>
      <c r="M22" s="27"/>
      <c r="N22" s="27"/>
      <c r="O22" s="27"/>
      <c r="P22" s="108" t="str">
        <f aca="false">IF(R22=0, "NOT STARTED",IF(R22&gt;D22, "ERROR TO MUCH WORK", IF(R22=D22, "DONE", "NOT ENOUGH WORK YET")))</f>
        <v>DONE</v>
      </c>
      <c r="Q22" s="108"/>
      <c r="R22" s="3" t="n">
        <f aca="false">SUM(E22:O22)</f>
        <v>1</v>
      </c>
      <c r="S22" s="1" t="s">
        <v>42</v>
      </c>
    </row>
    <row r="23" customFormat="false" ht="32.2" hidden="false" customHeight="true" outlineLevel="0" collapsed="false">
      <c r="B23" s="24" t="n">
        <v>53.2</v>
      </c>
      <c r="C23" s="55" t="s">
        <v>162</v>
      </c>
      <c r="D23" s="109" t="n">
        <v>1</v>
      </c>
      <c r="E23" s="30"/>
      <c r="F23" s="27"/>
      <c r="G23" s="27"/>
      <c r="H23" s="27"/>
      <c r="I23" s="28"/>
      <c r="J23" s="27"/>
      <c r="K23" s="27" t="n">
        <v>0.5</v>
      </c>
      <c r="L23" s="27" t="n">
        <v>0.5</v>
      </c>
      <c r="M23" s="27"/>
      <c r="N23" s="27"/>
      <c r="O23" s="27"/>
      <c r="P23" s="108" t="str">
        <f aca="false">IF(R23=0, "NOT STARTED",IF(R23&gt;D23, "ERROR TO MUCH WORK", IF(R23=D23, "DONE", "NOT ENOUGH WORK YET")))</f>
        <v>DONE</v>
      </c>
      <c r="Q23" s="108"/>
      <c r="R23" s="3" t="n">
        <f aca="false">SUM(E23:O23)</f>
        <v>1</v>
      </c>
      <c r="S23" s="1" t="s">
        <v>48</v>
      </c>
    </row>
    <row r="24" customFormat="false" ht="29.85" hidden="false" customHeight="true" outlineLevel="0" collapsed="false">
      <c r="B24" s="24" t="n">
        <v>54.1</v>
      </c>
      <c r="C24" s="55" t="s">
        <v>163</v>
      </c>
      <c r="D24" s="109" t="n">
        <v>1.5</v>
      </c>
      <c r="E24" s="30"/>
      <c r="F24" s="27" t="n">
        <v>0.5</v>
      </c>
      <c r="G24" s="27" t="n">
        <v>0.5</v>
      </c>
      <c r="H24" s="27" t="n">
        <v>0.5</v>
      </c>
      <c r="I24" s="28"/>
      <c r="J24" s="27"/>
      <c r="K24" s="27"/>
      <c r="L24" s="27"/>
      <c r="M24" s="27"/>
      <c r="N24" s="27"/>
      <c r="O24" s="27"/>
      <c r="P24" s="108" t="str">
        <f aca="false">IF(R24=0, "NOT STARTED",IF(R24&gt;D24, "ERROR TO MUCH WORK", IF(R24=D24, "DONE", "NOT ENOUGH WORK YET")))</f>
        <v>DONE</v>
      </c>
      <c r="Q24" s="108"/>
      <c r="R24" s="3" t="n">
        <f aca="false">SUM(E24:O24)</f>
        <v>1.5</v>
      </c>
      <c r="S24" s="1" t="s">
        <v>38</v>
      </c>
    </row>
    <row r="25" customFormat="false" ht="31.6" hidden="false" customHeight="true" outlineLevel="0" collapsed="false">
      <c r="B25" s="24" t="n">
        <v>54.2</v>
      </c>
      <c r="C25" s="55" t="s">
        <v>163</v>
      </c>
      <c r="D25" s="109" t="n">
        <v>1.5</v>
      </c>
      <c r="E25" s="30"/>
      <c r="F25" s="27" t="n">
        <v>0.5</v>
      </c>
      <c r="G25" s="27" t="n">
        <v>0.5</v>
      </c>
      <c r="H25" s="27" t="n">
        <v>0.5</v>
      </c>
      <c r="I25" s="28"/>
      <c r="J25" s="27"/>
      <c r="K25" s="27"/>
      <c r="L25" s="27"/>
      <c r="M25" s="27"/>
      <c r="N25" s="27"/>
      <c r="O25" s="27"/>
      <c r="P25" s="108" t="str">
        <f aca="false">IF(R25=0, "NOT STARTED",IF(R25&gt;D25, "ERROR TO MUCH WORK", IF(R25=D25, "DONE", "NOT ENOUGH WORK YET")))</f>
        <v>DONE</v>
      </c>
      <c r="Q25" s="108"/>
      <c r="R25" s="3" t="n">
        <f aca="false">SUM(E25:O25)</f>
        <v>1.5</v>
      </c>
      <c r="S25" s="1" t="s">
        <v>50</v>
      </c>
    </row>
    <row r="26" customFormat="false" ht="31.6" hidden="false" customHeight="true" outlineLevel="0" collapsed="false">
      <c r="B26" s="24" t="n">
        <v>55.1</v>
      </c>
      <c r="C26" s="55" t="s">
        <v>164</v>
      </c>
      <c r="D26" s="109" t="n">
        <v>1.5</v>
      </c>
      <c r="E26" s="30"/>
      <c r="F26" s="27" t="n">
        <v>0.3</v>
      </c>
      <c r="G26" s="27" t="n">
        <v>0.2</v>
      </c>
      <c r="H26" s="27" t="n">
        <v>0.2</v>
      </c>
      <c r="I26" s="28" t="n">
        <v>0.3</v>
      </c>
      <c r="J26" s="27" t="n">
        <v>0.5</v>
      </c>
      <c r="K26" s="27"/>
      <c r="L26" s="27"/>
      <c r="M26" s="27"/>
      <c r="N26" s="27"/>
      <c r="O26" s="27"/>
      <c r="P26" s="108" t="str">
        <f aca="false">IF(R26=0, "NOT STARTED",IF(R26&gt;D26, "ERROR TO MUCH WORK", IF(R26=D26, "DONE", "NOT ENOUGH WORK YET")))</f>
        <v>DONE</v>
      </c>
      <c r="Q26" s="108"/>
      <c r="R26" s="3" t="n">
        <f aca="false">SUM(E26:O26)</f>
        <v>1.5</v>
      </c>
      <c r="S26" s="1" t="s">
        <v>42</v>
      </c>
    </row>
    <row r="27" customFormat="false" ht="31.6" hidden="false" customHeight="true" outlineLevel="0" collapsed="false">
      <c r="B27" s="24" t="n">
        <v>55.2</v>
      </c>
      <c r="C27" s="55" t="s">
        <v>164</v>
      </c>
      <c r="D27" s="109" t="n">
        <v>1.5</v>
      </c>
      <c r="E27" s="30"/>
      <c r="F27" s="27" t="n">
        <v>0.3</v>
      </c>
      <c r="G27" s="27" t="n">
        <v>0.2</v>
      </c>
      <c r="H27" s="27" t="n">
        <v>0.2</v>
      </c>
      <c r="I27" s="28" t="n">
        <v>0.3</v>
      </c>
      <c r="J27" s="27" t="n">
        <v>0.5</v>
      </c>
      <c r="K27" s="27"/>
      <c r="L27" s="27"/>
      <c r="M27" s="27"/>
      <c r="N27" s="27"/>
      <c r="O27" s="27"/>
      <c r="P27" s="108" t="str">
        <f aca="false">IF(R27=0, "NOT STARTED",IF(R27&gt;D27, "ERROR TO MUCH WORK", IF(R27=D27, "DONE", "NOT ENOUGH WORK YET")))</f>
        <v>DONE</v>
      </c>
      <c r="Q27" s="108"/>
      <c r="R27" s="3" t="n">
        <f aca="false">SUM(E27:O27)</f>
        <v>1.5</v>
      </c>
      <c r="S27" s="1" t="s">
        <v>45</v>
      </c>
    </row>
    <row r="28" customFormat="false" ht="31.4" hidden="false" customHeight="true" outlineLevel="0" collapsed="false">
      <c r="B28" s="24" t="n">
        <v>56.1</v>
      </c>
      <c r="C28" s="55" t="s">
        <v>165</v>
      </c>
      <c r="D28" s="109" t="n">
        <v>1</v>
      </c>
      <c r="E28" s="30"/>
      <c r="F28" s="27"/>
      <c r="G28" s="27"/>
      <c r="H28" s="27"/>
      <c r="I28" s="28"/>
      <c r="J28" s="27"/>
      <c r="K28" s="27"/>
      <c r="L28" s="27"/>
      <c r="M28" s="27" t="n">
        <v>0.3</v>
      </c>
      <c r="N28" s="27" t="n">
        <v>0.5</v>
      </c>
      <c r="O28" s="27" t="n">
        <v>0.2</v>
      </c>
      <c r="P28" s="108" t="str">
        <f aca="false">IF(R28=0, "NOT STARTED",IF(R28&gt;D28, "ERROR TO MUCH WORK", IF(R28=D28, "DONE", "NOT ENOUGH WORK YET")))</f>
        <v>DONE</v>
      </c>
      <c r="Q28" s="108"/>
      <c r="R28" s="3" t="n">
        <f aca="false">SUM(E28:O28)</f>
        <v>1</v>
      </c>
      <c r="S28" s="3" t="s">
        <v>45</v>
      </c>
    </row>
    <row r="29" customFormat="false" ht="31.4" hidden="false" customHeight="true" outlineLevel="0" collapsed="false">
      <c r="B29" s="24" t="n">
        <v>56.2</v>
      </c>
      <c r="C29" s="55" t="s">
        <v>165</v>
      </c>
      <c r="D29" s="109" t="n">
        <v>1</v>
      </c>
      <c r="E29" s="30"/>
      <c r="F29" s="27"/>
      <c r="G29" s="27"/>
      <c r="H29" s="27"/>
      <c r="I29" s="28"/>
      <c r="J29" s="27"/>
      <c r="K29" s="27"/>
      <c r="L29" s="27"/>
      <c r="M29" s="27" t="n">
        <v>0.3</v>
      </c>
      <c r="N29" s="27" t="n">
        <v>0.5</v>
      </c>
      <c r="O29" s="27" t="n">
        <v>0.2</v>
      </c>
      <c r="P29" s="108" t="str">
        <f aca="false">IF(R29=0, "NOT STARTED",IF(R29&gt;D29, "ERROR TO MUCH WORK", IF(R29=D29, "DONE", "NOT ENOUGH WORK YET")))</f>
        <v>DONE</v>
      </c>
      <c r="Q29" s="108"/>
      <c r="R29" s="3" t="n">
        <f aca="false">SUM(E29:O29)</f>
        <v>1</v>
      </c>
      <c r="S29" s="3" t="s">
        <v>40</v>
      </c>
    </row>
    <row r="30" customFormat="false" ht="31.4" hidden="false" customHeight="true" outlineLevel="0" collapsed="false">
      <c r="B30" s="24" t="n">
        <v>56.3</v>
      </c>
      <c r="C30" s="55" t="s">
        <v>165</v>
      </c>
      <c r="D30" s="109" t="n">
        <v>1</v>
      </c>
      <c r="E30" s="30"/>
      <c r="F30" s="27"/>
      <c r="G30" s="27"/>
      <c r="H30" s="27"/>
      <c r="I30" s="28"/>
      <c r="J30" s="27"/>
      <c r="K30" s="27"/>
      <c r="L30" s="27"/>
      <c r="M30" s="27" t="n">
        <v>0.2</v>
      </c>
      <c r="N30" s="27" t="n">
        <v>0.3</v>
      </c>
      <c r="O30" s="27" t="n">
        <v>0.5</v>
      </c>
      <c r="P30" s="108" t="str">
        <f aca="false">IF(R30=0, "NOT STARTED",IF(R30&gt;D30, "ERROR TO MUCH WORK", IF(R30=D30, "DONE", "NOT ENOUGH WORK YET")))</f>
        <v>DONE</v>
      </c>
      <c r="Q30" s="108"/>
      <c r="R30" s="3" t="n">
        <f aca="false">SUM(E30:O30)</f>
        <v>1</v>
      </c>
      <c r="S30" s="1" t="s">
        <v>42</v>
      </c>
    </row>
    <row r="31" customFormat="false" ht="31.4" hidden="false" customHeight="true" outlineLevel="0" collapsed="false">
      <c r="B31" s="24" t="n">
        <v>56.4</v>
      </c>
      <c r="C31" s="55" t="s">
        <v>165</v>
      </c>
      <c r="D31" s="109" t="n">
        <v>1</v>
      </c>
      <c r="E31" s="30"/>
      <c r="F31" s="27"/>
      <c r="G31" s="27"/>
      <c r="H31" s="27"/>
      <c r="I31" s="28"/>
      <c r="J31" s="27"/>
      <c r="K31" s="27"/>
      <c r="L31" s="27"/>
      <c r="M31" s="27" t="n">
        <v>0.2</v>
      </c>
      <c r="N31" s="27" t="n">
        <v>0.3</v>
      </c>
      <c r="O31" s="27" t="n">
        <v>0.5</v>
      </c>
      <c r="P31" s="108" t="str">
        <f aca="false">IF(R31=0, "NOT STARTED",IF(R31&gt;D31, "ERROR TO MUCH WORK", IF(R31=D31, "DONE", "NOT ENOUGH WORK YET")))</f>
        <v>DONE</v>
      </c>
      <c r="Q31" s="108"/>
      <c r="R31" s="3" t="n">
        <f aca="false">SUM(E31:O31)</f>
        <v>1</v>
      </c>
      <c r="S31" s="1" t="s">
        <v>48</v>
      </c>
    </row>
    <row r="32" customFormat="false" ht="31.4" hidden="false" customHeight="true" outlineLevel="0" collapsed="false">
      <c r="B32" s="24" t="n">
        <v>56.5</v>
      </c>
      <c r="C32" s="55" t="s">
        <v>165</v>
      </c>
      <c r="D32" s="109" t="n">
        <v>1</v>
      </c>
      <c r="E32" s="30"/>
      <c r="F32" s="27"/>
      <c r="G32" s="27"/>
      <c r="H32" s="27"/>
      <c r="I32" s="28"/>
      <c r="J32" s="27"/>
      <c r="K32" s="27"/>
      <c r="L32" s="27"/>
      <c r="M32" s="27" t="n">
        <v>0.2</v>
      </c>
      <c r="N32" s="27" t="n">
        <v>0.3</v>
      </c>
      <c r="O32" s="27" t="n">
        <v>0.5</v>
      </c>
      <c r="P32" s="108" t="str">
        <f aca="false">IF(R32=0, "NOT STARTED",IF(R32&gt;D32, "ERROR TO MUCH WORK", IF(R32=D32, "DONE", "NOT ENOUGH WORK YET")))</f>
        <v>DONE</v>
      </c>
      <c r="Q32" s="108"/>
      <c r="R32" s="3" t="n">
        <f aca="false">SUM(E32:O32)</f>
        <v>1</v>
      </c>
      <c r="S32" s="1" t="s">
        <v>38</v>
      </c>
    </row>
    <row r="33" customFormat="false" ht="31.4" hidden="false" customHeight="true" outlineLevel="0" collapsed="false">
      <c r="B33" s="24" t="n">
        <v>56.6</v>
      </c>
      <c r="C33" s="55" t="s">
        <v>165</v>
      </c>
      <c r="D33" s="109" t="n">
        <v>1</v>
      </c>
      <c r="E33" s="30"/>
      <c r="F33" s="27"/>
      <c r="G33" s="27"/>
      <c r="H33" s="27"/>
      <c r="I33" s="28"/>
      <c r="J33" s="27"/>
      <c r="K33" s="27"/>
      <c r="L33" s="27"/>
      <c r="M33" s="27" t="n">
        <v>0.2</v>
      </c>
      <c r="N33" s="27" t="n">
        <v>0.3</v>
      </c>
      <c r="O33" s="27" t="n">
        <v>0.5</v>
      </c>
      <c r="P33" s="108" t="str">
        <f aca="false">IF(R33=0, "NOT STARTED",IF(R33&gt;D33, "ERROR TO MUCH WORK", IF(R33=D33, "DONE", "NOT ENOUGH WORK YET")))</f>
        <v>DONE</v>
      </c>
      <c r="Q33" s="108"/>
      <c r="R33" s="3" t="n">
        <f aca="false">SUM(E33:O33)</f>
        <v>1</v>
      </c>
      <c r="S33" s="1" t="s">
        <v>50</v>
      </c>
    </row>
    <row r="34" customFormat="false" ht="14.25" hidden="false" customHeight="true" outlineLevel="0" collapsed="false">
      <c r="B34" s="24" t="n">
        <v>57.1</v>
      </c>
      <c r="C34" s="55" t="s">
        <v>166</v>
      </c>
      <c r="D34" s="109" t="n">
        <v>1</v>
      </c>
      <c r="E34" s="30"/>
      <c r="F34" s="27"/>
      <c r="G34" s="27"/>
      <c r="H34" s="27"/>
      <c r="I34" s="28"/>
      <c r="J34" s="27"/>
      <c r="K34" s="27"/>
      <c r="L34" s="27"/>
      <c r="M34" s="27"/>
      <c r="N34" s="27" t="n">
        <v>0.5</v>
      </c>
      <c r="O34" s="27" t="n">
        <v>0.5</v>
      </c>
      <c r="P34" s="108" t="str">
        <f aca="false">IF(R34=0, "NOT STARTED",IF(R34&gt;D34, "ERROR TO MUCH WORK", IF(R34=D34, "DONE", "NOT ENOUGH WORK YET")))</f>
        <v>DONE</v>
      </c>
      <c r="Q34" s="108"/>
      <c r="R34" s="3" t="n">
        <f aca="false">SUM(E34:O34)</f>
        <v>1</v>
      </c>
      <c r="S34" s="3" t="s">
        <v>45</v>
      </c>
    </row>
    <row r="35" customFormat="false" ht="14.25" hidden="false" customHeight="true" outlineLevel="0" collapsed="false">
      <c r="B35" s="24" t="n">
        <v>57.2</v>
      </c>
      <c r="C35" s="55" t="s">
        <v>166</v>
      </c>
      <c r="D35" s="109" t="n">
        <v>1</v>
      </c>
      <c r="E35" s="30"/>
      <c r="F35" s="27"/>
      <c r="G35" s="27"/>
      <c r="H35" s="27"/>
      <c r="I35" s="28"/>
      <c r="J35" s="27"/>
      <c r="K35" s="27"/>
      <c r="L35" s="27"/>
      <c r="M35" s="27"/>
      <c r="N35" s="27" t="n">
        <v>0.5</v>
      </c>
      <c r="O35" s="27" t="n">
        <v>0.5</v>
      </c>
      <c r="P35" s="108" t="str">
        <f aca="false">IF(R35=0, "NOT STARTED",IF(R35&gt;D35, "ERROR TO MUCH WORK", IF(R35=D35, "DONE", "NOT ENOUGH WORK YET")))</f>
        <v>DONE</v>
      </c>
      <c r="Q35" s="108"/>
      <c r="R35" s="3" t="n">
        <f aca="false">SUM(E35:O35)</f>
        <v>1</v>
      </c>
      <c r="S35" s="3" t="s">
        <v>40</v>
      </c>
    </row>
    <row r="36" customFormat="false" ht="14.25" hidden="false" customHeight="true" outlineLevel="0" collapsed="false">
      <c r="B36" s="24" t="n">
        <v>57.3</v>
      </c>
      <c r="C36" s="55" t="s">
        <v>166</v>
      </c>
      <c r="D36" s="109" t="n">
        <v>1</v>
      </c>
      <c r="E36" s="30"/>
      <c r="F36" s="27"/>
      <c r="G36" s="27"/>
      <c r="H36" s="27"/>
      <c r="I36" s="28"/>
      <c r="J36" s="27"/>
      <c r="K36" s="27"/>
      <c r="L36" s="27"/>
      <c r="M36" s="27"/>
      <c r="N36" s="27" t="n">
        <v>0.5</v>
      </c>
      <c r="O36" s="27" t="n">
        <v>0.5</v>
      </c>
      <c r="P36" s="108" t="str">
        <f aca="false">IF(R36=0, "NOT STARTED",IF(R36&gt;D36, "ERROR TO MUCH WORK", IF(R36=D36, "DONE", "NOT ENOUGH WORK YET")))</f>
        <v>DONE</v>
      </c>
      <c r="Q36" s="108"/>
      <c r="R36" s="3" t="n">
        <f aca="false">SUM(E36:O36)</f>
        <v>1</v>
      </c>
      <c r="S36" s="1" t="s">
        <v>42</v>
      </c>
    </row>
    <row r="37" customFormat="false" ht="14.25" hidden="false" customHeight="true" outlineLevel="0" collapsed="false">
      <c r="B37" s="24" t="n">
        <v>57.4</v>
      </c>
      <c r="C37" s="55" t="s">
        <v>166</v>
      </c>
      <c r="D37" s="109" t="n">
        <v>1</v>
      </c>
      <c r="E37" s="30"/>
      <c r="F37" s="27"/>
      <c r="G37" s="27"/>
      <c r="H37" s="27"/>
      <c r="I37" s="28"/>
      <c r="J37" s="27"/>
      <c r="K37" s="27"/>
      <c r="L37" s="27"/>
      <c r="M37" s="27"/>
      <c r="N37" s="27" t="n">
        <v>0.5</v>
      </c>
      <c r="O37" s="27" t="n">
        <v>0.5</v>
      </c>
      <c r="P37" s="108" t="str">
        <f aca="false">IF(R37=0, "NOT STARTED",IF(R37&gt;D37, "ERROR TO MUCH WORK", IF(R37=D37, "DONE", "NOT ENOUGH WORK YET")))</f>
        <v>DONE</v>
      </c>
      <c r="Q37" s="108"/>
      <c r="R37" s="3" t="n">
        <f aca="false">SUM(E37:O37)</f>
        <v>1</v>
      </c>
      <c r="S37" s="1" t="s">
        <v>48</v>
      </c>
    </row>
    <row r="38" customFormat="false" ht="14.25" hidden="false" customHeight="true" outlineLevel="0" collapsed="false">
      <c r="B38" s="24" t="n">
        <v>57.5</v>
      </c>
      <c r="C38" s="55" t="s">
        <v>166</v>
      </c>
      <c r="D38" s="109" t="n">
        <v>1</v>
      </c>
      <c r="E38" s="30"/>
      <c r="F38" s="27"/>
      <c r="G38" s="27"/>
      <c r="H38" s="27"/>
      <c r="I38" s="28"/>
      <c r="J38" s="27"/>
      <c r="K38" s="27"/>
      <c r="L38" s="27"/>
      <c r="M38" s="27"/>
      <c r="N38" s="27" t="n">
        <v>0.5</v>
      </c>
      <c r="O38" s="27" t="n">
        <v>0.5</v>
      </c>
      <c r="P38" s="108" t="str">
        <f aca="false">IF(R38=0, "NOT STARTED",IF(R38&gt;D38, "ERROR TO MUCH WORK", IF(R38=D38, "DONE", "NOT ENOUGH WORK YET")))</f>
        <v>DONE</v>
      </c>
      <c r="Q38" s="108"/>
      <c r="R38" s="3" t="n">
        <f aca="false">SUM(E38:O38)</f>
        <v>1</v>
      </c>
      <c r="S38" s="1" t="s">
        <v>38</v>
      </c>
    </row>
    <row r="39" customFormat="false" ht="14.25" hidden="false" customHeight="true" outlineLevel="0" collapsed="false">
      <c r="B39" s="24" t="n">
        <v>57.6</v>
      </c>
      <c r="C39" s="55" t="s">
        <v>166</v>
      </c>
      <c r="D39" s="109" t="n">
        <v>1</v>
      </c>
      <c r="E39" s="30"/>
      <c r="F39" s="27"/>
      <c r="G39" s="27"/>
      <c r="H39" s="27"/>
      <c r="I39" s="28"/>
      <c r="J39" s="27"/>
      <c r="K39" s="27"/>
      <c r="L39" s="27"/>
      <c r="M39" s="27"/>
      <c r="N39" s="27" t="n">
        <v>0.5</v>
      </c>
      <c r="O39" s="27" t="n">
        <v>0.5</v>
      </c>
      <c r="P39" s="108" t="str">
        <f aca="false">IF(R39=0, "NOT STARTED",IF(R39&gt;D39, "ERROR TO MUCH WORK", IF(R39=D39, "DONE", "NOT ENOUGH WORK YET")))</f>
        <v>DONE</v>
      </c>
      <c r="Q39" s="108"/>
      <c r="R39" s="3" t="n">
        <f aca="false">SUM(E39:O39)</f>
        <v>1</v>
      </c>
      <c r="S39" s="1" t="s">
        <v>50</v>
      </c>
    </row>
    <row r="40" customFormat="false" ht="14.25" hidden="false" customHeight="true" outlineLevel="0" collapsed="false">
      <c r="B40" s="24"/>
      <c r="C40" s="55"/>
      <c r="D40" s="109"/>
      <c r="E40" s="30"/>
      <c r="F40" s="27"/>
      <c r="G40" s="27"/>
      <c r="H40" s="27"/>
      <c r="I40" s="28"/>
      <c r="J40" s="27"/>
      <c r="K40" s="27"/>
      <c r="L40" s="27"/>
      <c r="M40" s="27"/>
      <c r="N40" s="27"/>
      <c r="O40" s="27"/>
      <c r="P40" s="108" t="str">
        <f aca="false">IF(R40=0, "NOT STARTED",IF(R40&gt;D40, "ERROR TO MUCH WORK", IF(R40=D40, "DONE", "NOT ENOUGH WORK YET")))</f>
        <v>NOT STARTED</v>
      </c>
      <c r="Q40" s="108"/>
      <c r="R40" s="3" t="n">
        <f aca="false">SUM(E40:O40)</f>
        <v>0</v>
      </c>
    </row>
    <row r="41" customFormat="false" ht="14.25" hidden="false" customHeight="true" outlineLevel="0" collapsed="false">
      <c r="B41" s="24"/>
      <c r="C41" s="55"/>
      <c r="D41" s="109"/>
      <c r="E41" s="30"/>
      <c r="F41" s="27"/>
      <c r="G41" s="27"/>
      <c r="H41" s="27"/>
      <c r="I41" s="28"/>
      <c r="J41" s="27"/>
      <c r="K41" s="27"/>
      <c r="L41" s="27"/>
      <c r="M41" s="27"/>
      <c r="N41" s="27"/>
      <c r="O41" s="27"/>
      <c r="P41" s="108" t="str">
        <f aca="false">IF(R41=0, "NOT STARTED",IF(R41&gt;D41, "ERROR TO MUCH WORK", IF(R41=D41, "DONE", "NOT ENOUGH WORK YET")))</f>
        <v>NOT STARTED</v>
      </c>
      <c r="Q41" s="108"/>
      <c r="R41" s="3" t="n">
        <f aca="false">SUM(E41:O41)</f>
        <v>0</v>
      </c>
    </row>
    <row r="42" customFormat="false" ht="14.25" hidden="false" customHeight="true" outlineLevel="0" collapsed="false">
      <c r="B42" s="24"/>
      <c r="C42" s="55"/>
      <c r="D42" s="109"/>
      <c r="E42" s="30"/>
      <c r="F42" s="27"/>
      <c r="G42" s="27"/>
      <c r="H42" s="27"/>
      <c r="I42" s="28"/>
      <c r="J42" s="27"/>
      <c r="K42" s="27"/>
      <c r="L42" s="27"/>
      <c r="M42" s="27"/>
      <c r="N42" s="27"/>
      <c r="O42" s="27"/>
      <c r="P42" s="108" t="str">
        <f aca="false">IF(R42=0, "NOT STARTED",IF(R42&gt;D42, "ERROR TO MUCH WORK", IF(R42=D42, "DONE", "NOT ENOUGH WORK YET")))</f>
        <v>NOT STARTED</v>
      </c>
      <c r="Q42" s="108"/>
      <c r="R42" s="3" t="n">
        <f aca="false">SUM(E42:O42)</f>
        <v>0</v>
      </c>
    </row>
    <row r="43" customFormat="false" ht="14.25" hidden="false" customHeight="true" outlineLevel="0" collapsed="false">
      <c r="B43" s="24"/>
      <c r="C43" s="55"/>
      <c r="D43" s="109"/>
      <c r="E43" s="30"/>
      <c r="F43" s="27"/>
      <c r="G43" s="27"/>
      <c r="H43" s="27"/>
      <c r="I43" s="28"/>
      <c r="J43" s="27"/>
      <c r="K43" s="27"/>
      <c r="L43" s="27"/>
      <c r="M43" s="27"/>
      <c r="N43" s="27"/>
      <c r="O43" s="27"/>
      <c r="P43" s="108" t="str">
        <f aca="false">IF(R43=0, "NOT STARTED",IF(R43&gt;D43, "ERROR TO MUCH WORK", IF(R43=D43, "DONE", "NOT ENOUGH WORK YET")))</f>
        <v>NOT STARTED</v>
      </c>
      <c r="Q43" s="108"/>
      <c r="R43" s="3" t="n">
        <f aca="false">SUM(E43:O43)</f>
        <v>0</v>
      </c>
    </row>
    <row r="44" customFormat="false" ht="14.25" hidden="false" customHeight="true" outlineLevel="0" collapsed="false">
      <c r="B44" s="31" t="s">
        <v>24</v>
      </c>
      <c r="C44" s="31"/>
      <c r="D44" s="32" t="n">
        <v>0</v>
      </c>
      <c r="E44" s="33" t="n">
        <f aca="false">SUM(E6:E43)</f>
        <v>2.2</v>
      </c>
      <c r="F44" s="34" t="n">
        <f aca="false">SUM(F6:F43)</f>
        <v>4.8</v>
      </c>
      <c r="G44" s="34" t="n">
        <f aca="false">SUM(G6:G43)</f>
        <v>5.8</v>
      </c>
      <c r="H44" s="34" t="n">
        <f aca="false">SUM(H6:H43)</f>
        <v>5.4</v>
      </c>
      <c r="I44" s="35" t="n">
        <f aca="false">SUM(I6:I43)</f>
        <v>4.7</v>
      </c>
      <c r="J44" s="36" t="n">
        <f aca="false">SUM(J6:J43)</f>
        <v>4.6</v>
      </c>
      <c r="K44" s="34" t="n">
        <f aca="false">SUM(K6:K43)</f>
        <v>4.5</v>
      </c>
      <c r="L44" s="34" t="n">
        <f aca="false">SUM(L6:L43)</f>
        <v>7.5</v>
      </c>
      <c r="M44" s="34" t="n">
        <f aca="false">SUM(M6:M43)</f>
        <v>7.9</v>
      </c>
      <c r="N44" s="34" t="n">
        <f aca="false">SUM(N6:N43)</f>
        <v>9.7</v>
      </c>
      <c r="O44" s="34" t="n">
        <f aca="false">SUM(O6:O43)</f>
        <v>5.4</v>
      </c>
    </row>
    <row r="45" customFormat="false" ht="14.25" hidden="false" customHeight="true" outlineLevel="0" collapsed="false">
      <c r="B45" s="38" t="s">
        <v>25</v>
      </c>
      <c r="C45" s="38"/>
      <c r="D45" s="39" t="n">
        <f aca="false">SUM(D6:D44)</f>
        <v>729</v>
      </c>
      <c r="E45" s="40" t="n">
        <f aca="false">D45-SUM(E6:E43)</f>
        <v>726.8</v>
      </c>
      <c r="F45" s="41" t="n">
        <f aca="false">E45-SUM(F6:F43)</f>
        <v>722</v>
      </c>
      <c r="G45" s="41" t="n">
        <f aca="false">F45-SUM(G6:G43)</f>
        <v>716.2</v>
      </c>
      <c r="H45" s="41" t="n">
        <f aca="false">G45-SUM(H6:H43)</f>
        <v>710.8</v>
      </c>
      <c r="I45" s="42" t="n">
        <f aca="false">H45-SUM(I6:I43)</f>
        <v>706.1</v>
      </c>
      <c r="J45" s="43" t="n">
        <f aca="false">I45-SUM(J6:J43)</f>
        <v>701.5</v>
      </c>
      <c r="K45" s="43" t="n">
        <f aca="false">J45-SUM(K6:K43)</f>
        <v>697</v>
      </c>
      <c r="L45" s="43" t="n">
        <f aca="false">K45-SUM(L6:L43)</f>
        <v>689.5</v>
      </c>
      <c r="M45" s="43" t="n">
        <f aca="false">L45-SUM(M6:M43)</f>
        <v>681.6</v>
      </c>
      <c r="N45" s="43" t="n">
        <f aca="false">M45-SUM(N6:N43)</f>
        <v>671.9</v>
      </c>
      <c r="O45" s="43" t="n">
        <f aca="false">N45-SUM(O6:O43)</f>
        <v>666.5</v>
      </c>
    </row>
    <row r="46" customFormat="false" ht="14.25" hidden="false" customHeight="true" outlineLevel="0" collapsed="false">
      <c r="B46" s="46" t="s">
        <v>26</v>
      </c>
      <c r="C46" s="46"/>
      <c r="D46" s="47" t="n">
        <f aca="false">D45</f>
        <v>729</v>
      </c>
      <c r="E46" s="48" t="n">
        <f aca="false">$D$46-($D$46/11*1)</f>
        <v>662.727272727273</v>
      </c>
      <c r="F46" s="48" t="n">
        <f aca="false">$D$46-($D$46/11*2)</f>
        <v>596.454545454546</v>
      </c>
      <c r="G46" s="48" t="n">
        <f aca="false">$D$46-($D$46/11*3)</f>
        <v>530.181818181818</v>
      </c>
      <c r="H46" s="48" t="n">
        <f aca="false">$D$46-($D$46/11*4)</f>
        <v>463.909090909091</v>
      </c>
      <c r="I46" s="49" t="n">
        <f aca="false">$D$46-($D$46/11*5)</f>
        <v>397.636363636364</v>
      </c>
      <c r="J46" s="49" t="n">
        <f aca="false">$D$46-($D$46/11*6)</f>
        <v>331.363636363636</v>
      </c>
      <c r="K46" s="48" t="n">
        <f aca="false">$D$46-($D$46/11*7)</f>
        <v>265.090909090909</v>
      </c>
      <c r="L46" s="48" t="n">
        <f aca="false">$D$46-($D$46/11*8)</f>
        <v>198.818181818182</v>
      </c>
      <c r="M46" s="48" t="n">
        <f aca="false">$D$46-($D$46/11*9)</f>
        <v>132.545454545455</v>
      </c>
      <c r="N46" s="48" t="n">
        <f aca="false">$D$46-($D$46/11*10)</f>
        <v>66.2727272727274</v>
      </c>
      <c r="O46" s="48" t="n">
        <f aca="false">$D$46-($D$46/11*11)</f>
        <v>0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</sheetData>
  <mergeCells count="45">
    <mergeCell ref="B2:K2"/>
    <mergeCell ref="E3:K3"/>
    <mergeCell ref="B4:B5"/>
    <mergeCell ref="C4:C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B44:C44"/>
    <mergeCell ref="B45:C45"/>
    <mergeCell ref="B46:C46"/>
  </mergeCells>
  <conditionalFormatting sqref="P6:P12 P13:P39 P40:P43">
    <cfRule type="cellIs" priority="2" operator="equal" aboveAverage="0" equalAverage="0" bottom="0" percent="0" rank="0" text="" dxfId="4">
      <formula>"DONE"</formula>
    </cfRule>
  </conditionalFormatting>
  <conditionalFormatting sqref="P6:Q12 P13:Q39 P40:Q43">
    <cfRule type="cellIs" priority="3" operator="equal" aboveAverage="0" equalAverage="0" bottom="0" percent="0" rank="0" text="" dxfId="5">
      <formula>"NOT ENOUGH WORK YET"</formula>
    </cfRule>
    <cfRule type="cellIs" priority="4" operator="equal" aboveAverage="0" equalAverage="0" bottom="0" percent="0" rank="0" text="" dxfId="6">
      <formula>"ERROR TO MUCH WORK"</formula>
    </cfRule>
    <cfRule type="cellIs" priority="5" operator="equal" aboveAverage="0" equalAverage="0" bottom="0" percent="0" rank="0" text="" dxfId="7">
      <formula>"NOT STARTED"</formula>
    </cfRule>
  </conditionalFormatting>
  <conditionalFormatting sqref="R6:R43">
    <cfRule type="colorScale" priority="6">
      <colorScale>
        <cfvo type="formula" val="0"/>
        <cfvo type="percentile" val="0.25"/>
        <cfvo type="formula" val="0.5"/>
        <color rgb="FF980000"/>
        <color rgb="FFFFD666"/>
        <color rgb="FF00FF00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2025-12-04T01:16:36Z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