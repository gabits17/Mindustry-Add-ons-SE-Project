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59c692484dd0481/uni/Semestre5/ES/SE2526_67775_67804_67286_68130_68547_67763/SE202526/Management/Sprint1/burndown/"/>
    </mc:Choice>
  </mc:AlternateContent>
  <xr:revisionPtr revIDLastSave="199" documentId="11_494F38B3C451EBB0AC99F8F5CB09FE5088EA3DC6" xr6:coauthVersionLast="47" xr6:coauthVersionMax="47" xr10:uidLastSave="{CDF42A53-C033-4929-A318-EFCB9DC234C1}"/>
  <bookViews>
    <workbookView xWindow="-108" yWindow="0" windowWidth="12312" windowHeight="1233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L12" i="1" l="1"/>
  <c r="O12" i="1"/>
  <c r="P12" i="1"/>
  <c r="D13" i="1"/>
  <c r="D14" i="1" s="1"/>
  <c r="N12" i="1"/>
  <c r="M12" i="1"/>
  <c r="K12" i="1"/>
  <c r="J12" i="1"/>
  <c r="I12" i="1"/>
  <c r="H12" i="1"/>
  <c r="G12" i="1"/>
  <c r="F12" i="1"/>
  <c r="E12" i="1"/>
  <c r="F14" i="1" l="1"/>
  <c r="P14" i="1"/>
  <c r="E14" i="1"/>
  <c r="H14" i="1"/>
  <c r="O14" i="1"/>
  <c r="N14" i="1"/>
  <c r="M14" i="1"/>
  <c r="L14" i="1"/>
  <c r="K14" i="1"/>
  <c r="J14" i="1"/>
  <c r="I14" i="1"/>
  <c r="G14" i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</calcChain>
</file>

<file path=xl/sharedStrings.xml><?xml version="1.0" encoding="utf-8"?>
<sst xmlns="http://schemas.openxmlformats.org/spreadsheetml/2006/main" count="27" uniqueCount="27">
  <si>
    <t>Sprint 1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</si>
  <si>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</si>
  <si>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</si>
  <si>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</si>
  <si>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</si>
  <si>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</si>
  <si>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</si>
  <si>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</si>
  <si>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</si>
  <si>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</si>
  <si>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</si>
  <si>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</si>
  <si>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</si>
  <si>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</si>
  <si>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</si>
  <si>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</si>
  <si>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</si>
  <si>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</si>
  <si>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Dia 11</t>
  </si>
  <si>
    <t>Dia 12</t>
  </si>
  <si>
    <t>Sprint 1 Burndown Chart</t>
  </si>
  <si>
    <t>T1: Play the first area of the game</t>
  </si>
  <si>
    <t>T2: Read through the classes in the codebase.</t>
  </si>
  <si>
    <t>T4: Define roughly functionality 2.</t>
  </si>
  <si>
    <t>T5: Define roughly functionality 3.</t>
  </si>
  <si>
    <t>T3: Define roughly functionality 1.</t>
  </si>
  <si>
    <t>T6: Trial modification of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</si>
</sst>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name val="Calibri"/>
      <family val="2"/>
      <scheme val="minor"/>
    </font>
    <font>
      <b/>
      <sz val="13"/>
      <color theme="1" tint="0.24994659260841701"/>
      <name val="Calibri"/>
      <family val="2"/>
      <scheme val="major"/>
    </font>
    <font>
      <b/>
      <sz val="11"/>
      <color theme="1" tint="0.2499465926084170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Fill="0" applyBorder="0" applyProtection="0">
      <alignment horizontal="left" wrapText="1"/>
    </xf>
  </cellStyleXfs>
  <cellXfs count="66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right" wrapText="1"/>
    </xf>
    <xf numFmtId="0" fontId="4" fillId="6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right" wrapText="1"/>
    </xf>
    <xf numFmtId="0" fontId="4" fillId="6" borderId="16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164" fontId="4" fillId="9" borderId="14" xfId="0" applyNumberFormat="1" applyFont="1" applyFill="1" applyBorder="1" applyAlignment="1">
      <alignment horizontal="center"/>
    </xf>
    <xf numFmtId="164" fontId="4" fillId="9" borderId="15" xfId="0" applyNumberFormat="1" applyFont="1" applyFill="1" applyBorder="1" applyAlignment="1">
      <alignment horizontal="center"/>
    </xf>
    <xf numFmtId="164" fontId="4" fillId="9" borderId="17" xfId="0" applyNumberFormat="1" applyFont="1" applyFill="1" applyBorder="1" applyAlignment="1">
      <alignment horizontal="center"/>
    </xf>
    <xf numFmtId="164" fontId="4" fillId="9" borderId="25" xfId="0" applyNumberFormat="1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164" fontId="4" fillId="10" borderId="12" xfId="0" applyNumberFormat="1" applyFont="1" applyFill="1" applyBorder="1" applyAlignment="1">
      <alignment horizontal="center"/>
    </xf>
    <xf numFmtId="164" fontId="4" fillId="10" borderId="28" xfId="0" applyNumberFormat="1" applyFont="1" applyFill="1" applyBorder="1" applyAlignment="1">
      <alignment horizontal="center"/>
    </xf>
    <xf numFmtId="15" fontId="5" fillId="3" borderId="6" xfId="0" applyNumberFormat="1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164" fontId="4" fillId="9" borderId="16" xfId="0" applyNumberFormat="1" applyFont="1" applyFill="1" applyBorder="1" applyAlignment="1">
      <alignment horizontal="center"/>
    </xf>
    <xf numFmtId="0" fontId="4" fillId="7" borderId="30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164" fontId="4" fillId="9" borderId="32" xfId="0" applyNumberFormat="1" applyFont="1" applyFill="1" applyBorder="1" applyAlignment="1">
      <alignment horizontal="center"/>
    </xf>
    <xf numFmtId="164" fontId="4" fillId="10" borderId="33" xfId="0" applyNumberFormat="1" applyFont="1" applyFill="1" applyBorder="1" applyAlignment="1">
      <alignment horizontal="center"/>
    </xf>
    <xf numFmtId="164" fontId="4" fillId="10" borderId="34" xfId="0" applyNumberFormat="1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164" fontId="4" fillId="9" borderId="24" xfId="0" applyNumberFormat="1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164" fontId="4" fillId="9" borderId="36" xfId="0" applyNumberFormat="1" applyFont="1" applyFill="1" applyBorder="1" applyAlignment="1">
      <alignment horizontal="center"/>
    </xf>
    <xf numFmtId="0" fontId="0" fillId="0" borderId="39" xfId="0" applyBorder="1"/>
    <xf numFmtId="15" fontId="5" fillId="3" borderId="19" xfId="0" applyNumberFormat="1" applyFont="1" applyFill="1" applyBorder="1" applyAlignment="1">
      <alignment horizontal="center"/>
    </xf>
    <xf numFmtId="0" fontId="1" fillId="0" borderId="0" xfId="0" applyFont="1"/>
    <xf numFmtId="0" fontId="9" fillId="0" borderId="0" xfId="1" applyFont="1">
      <alignment horizontal="left" wrapText="1"/>
    </xf>
    <xf numFmtId="0" fontId="5" fillId="8" borderId="19" xfId="0" applyFont="1" applyFill="1" applyBorder="1" applyAlignment="1">
      <alignment horizontal="center" wrapText="1"/>
    </xf>
    <xf numFmtId="0" fontId="3" fillId="0" borderId="20" xfId="0" applyFont="1" applyBorder="1"/>
    <xf numFmtId="0" fontId="5" fillId="9" borderId="23" xfId="0" applyFont="1" applyFill="1" applyBorder="1" applyAlignment="1">
      <alignment horizontal="center"/>
    </xf>
    <xf numFmtId="0" fontId="3" fillId="0" borderId="24" xfId="0" applyFont="1" applyBorder="1"/>
    <xf numFmtId="0" fontId="5" fillId="10" borderId="26" xfId="0" applyFont="1" applyFill="1" applyBorder="1" applyAlignment="1">
      <alignment horizontal="center"/>
    </xf>
    <xf numFmtId="0" fontId="3" fillId="0" borderId="27" xfId="0" applyFont="1" applyBorder="1"/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3" fillId="0" borderId="9" xfId="0" applyFont="1" applyBorder="1"/>
    <xf numFmtId="0" fontId="5" fillId="3" borderId="4" xfId="0" applyFont="1" applyFill="1" applyBorder="1" applyAlignment="1">
      <alignment horizontal="center" vertical="center"/>
    </xf>
    <xf numFmtId="0" fontId="3" fillId="0" borderId="10" xfId="0" applyFont="1" applyBorder="1"/>
  </cellXfs>
  <cellStyles count="2">
    <cellStyle name="Activity" xfId="1" xr:uid="{5DBB9305-DA3E-4278-A1B7-D54E2BE2130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Chart'!$D$12:$P$12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</c:v>
                </c:pt>
                <c:pt idx="4">
                  <c:v>1.4</c:v>
                </c:pt>
                <c:pt idx="5">
                  <c:v>1.7</c:v>
                </c:pt>
                <c:pt idx="6">
                  <c:v>0.30000000000000004</c:v>
                </c:pt>
                <c:pt idx="7">
                  <c:v>1.8</c:v>
                </c:pt>
                <c:pt idx="8">
                  <c:v>2.5999999999999996</c:v>
                </c:pt>
                <c:pt idx="9">
                  <c:v>0.7</c:v>
                </c:pt>
                <c:pt idx="10">
                  <c:v>0.5</c:v>
                </c:pt>
                <c:pt idx="11">
                  <c:v>0.3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74-466B-AFE8-774D31513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Chart'!$D$13:$P$13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12.8</c:v>
                </c:pt>
                <c:pt idx="4">
                  <c:v>11.4</c:v>
                </c:pt>
                <c:pt idx="5">
                  <c:v>9.7000000000000011</c:v>
                </c:pt>
                <c:pt idx="6">
                  <c:v>9.4</c:v>
                </c:pt>
                <c:pt idx="7">
                  <c:v>7.6000000000000005</c:v>
                </c:pt>
                <c:pt idx="8">
                  <c:v>5.0000000000000009</c:v>
                </c:pt>
                <c:pt idx="9">
                  <c:v>4.3000000000000007</c:v>
                </c:pt>
                <c:pt idx="10">
                  <c:v>3.8000000000000007</c:v>
                </c:pt>
                <c:pt idx="11">
                  <c:v>3.5000000000000009</c:v>
                </c:pt>
                <c:pt idx="12">
                  <c:v>3.5000000000000009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4-466B-AFE8-774D3151318C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Chart'!$D$14:$P$14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12.833333333333334</c:v>
                </c:pt>
                <c:pt idx="2">
                  <c:v>11.666666666666666</c:v>
                </c:pt>
                <c:pt idx="3">
                  <c:v>10.5</c:v>
                </c:pt>
                <c:pt idx="4">
                  <c:v>9.3333333333333321</c:v>
                </c:pt>
                <c:pt idx="5">
                  <c:v>8.1666666666666661</c:v>
                </c:pt>
                <c:pt idx="6">
                  <c:v>7</c:v>
                </c:pt>
                <c:pt idx="7">
                  <c:v>5.8333333333333321</c:v>
                </c:pt>
                <c:pt idx="8">
                  <c:v>4.6666666666666661</c:v>
                </c:pt>
                <c:pt idx="9">
                  <c:v>3.5</c:v>
                </c:pt>
                <c:pt idx="10">
                  <c:v>2.3333333333333321</c:v>
                </c:pt>
                <c:pt idx="11">
                  <c:v>1.1666666666666661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4-466B-AFE8-774D31513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1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2140547</xdr:colOff>
      <xdr:row>14</xdr:row>
      <xdr:rowOff>44375</xdr:rowOff>
    </xdr:from>
    <xdr:ext cx="9639300" cy="4886325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992"/>
  <sheetViews>
    <sheetView tabSelected="1" topLeftCell="D1" zoomScale="67" zoomScaleNormal="100" workbookViewId="0">
      <selection activeCell="O11" sqref="O11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5.6640625" customWidth="1"/>
    <col min="5" max="14" width="10" customWidth="1"/>
    <col min="15" max="15" width="9.77734375" customWidth="1"/>
    <col min="16" max="16" width="9.5546875" customWidth="1"/>
    <col min="17" max="26" width="8.6640625" customWidth="1"/>
  </cols>
  <sheetData>
    <row r="1" spans="2:18" ht="14.25" customHeight="1" x14ac:dyDescent="0.3"/>
    <row r="2" spans="2:18" ht="23.4" customHeight="1" thickBot="1" x14ac:dyDescent="0.55000000000000004">
      <c r="B2" s="59" t="s">
        <v>20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1"/>
      <c r="R2" s="49"/>
    </row>
    <row r="3" spans="2:18" ht="14.25" customHeight="1" thickBot="1" x14ac:dyDescent="0.35">
      <c r="B3" s="1"/>
      <c r="C3" s="2"/>
      <c r="D3" s="2"/>
      <c r="E3" s="57" t="s">
        <v>0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7"/>
    </row>
    <row r="4" spans="2:18" ht="14.25" customHeight="1" x14ac:dyDescent="0.3">
      <c r="B4" s="62" t="s">
        <v>1</v>
      </c>
      <c r="C4" s="64" t="s">
        <v>2</v>
      </c>
      <c r="D4" s="3" t="s">
        <v>3</v>
      </c>
      <c r="E4" s="30">
        <v>45938</v>
      </c>
      <c r="F4" s="30">
        <v>45939</v>
      </c>
      <c r="G4" s="30">
        <v>45940</v>
      </c>
      <c r="H4" s="30">
        <v>45941</v>
      </c>
      <c r="I4" s="30">
        <v>45942</v>
      </c>
      <c r="J4" s="30">
        <v>45943</v>
      </c>
      <c r="K4" s="30">
        <v>45944</v>
      </c>
      <c r="L4" s="30">
        <v>45945</v>
      </c>
      <c r="M4" s="30">
        <v>45946</v>
      </c>
      <c r="N4" s="30">
        <v>45947</v>
      </c>
      <c r="O4" s="30">
        <v>45948</v>
      </c>
      <c r="P4" s="48">
        <v>45949</v>
      </c>
      <c r="Q4" s="47"/>
    </row>
    <row r="5" spans="2:18" ht="14.25" customHeight="1" thickBot="1" x14ac:dyDescent="0.35">
      <c r="B5" s="63"/>
      <c r="C5" s="65"/>
      <c r="D5" s="4" t="s">
        <v>4</v>
      </c>
      <c r="E5" s="5" t="s">
        <v>5</v>
      </c>
      <c r="F5" s="6" t="s">
        <v>6</v>
      </c>
      <c r="G5" s="6" t="s">
        <v>7</v>
      </c>
      <c r="H5" s="6" t="s">
        <v>8</v>
      </c>
      <c r="I5" s="32" t="s">
        <v>9</v>
      </c>
      <c r="J5" s="6" t="s">
        <v>10</v>
      </c>
      <c r="K5" s="32" t="s">
        <v>11</v>
      </c>
      <c r="L5" s="6" t="s">
        <v>12</v>
      </c>
      <c r="M5" s="32" t="s">
        <v>13</v>
      </c>
      <c r="N5" s="6" t="s">
        <v>14</v>
      </c>
      <c r="O5" s="32" t="s">
        <v>18</v>
      </c>
      <c r="P5" s="32" t="s">
        <v>19</v>
      </c>
      <c r="Q5" s="47"/>
    </row>
    <row r="6" spans="2:18" ht="14.25" customHeight="1" x14ac:dyDescent="0.3">
      <c r="B6" s="7">
        <v>1</v>
      </c>
      <c r="C6" s="50" t="s">
        <v>21</v>
      </c>
      <c r="D6" s="8">
        <v>3</v>
      </c>
      <c r="E6" s="9"/>
      <c r="F6" s="10"/>
      <c r="G6" s="10"/>
      <c r="H6" s="10">
        <v>1</v>
      </c>
      <c r="I6" s="33"/>
      <c r="J6" s="36"/>
      <c r="K6" s="10"/>
      <c r="L6" s="10">
        <v>1</v>
      </c>
      <c r="M6" s="10"/>
      <c r="N6" s="42"/>
      <c r="O6" s="36"/>
      <c r="P6" s="11"/>
    </row>
    <row r="7" spans="2:18" ht="14.25" customHeight="1" x14ac:dyDescent="0.3">
      <c r="B7" s="12">
        <v>4</v>
      </c>
      <c r="C7" s="50" t="s">
        <v>22</v>
      </c>
      <c r="D7" s="13">
        <v>6</v>
      </c>
      <c r="E7" s="17"/>
      <c r="F7" s="14">
        <v>1</v>
      </c>
      <c r="G7" s="14"/>
      <c r="H7" s="14"/>
      <c r="I7" s="31">
        <v>1.5</v>
      </c>
      <c r="J7" s="37">
        <v>0.2</v>
      </c>
      <c r="K7" s="14"/>
      <c r="L7" s="14">
        <v>0.4</v>
      </c>
      <c r="M7" s="14">
        <v>0.4</v>
      </c>
      <c r="N7" s="43"/>
      <c r="O7" s="37"/>
      <c r="P7" s="15"/>
    </row>
    <row r="8" spans="2:18" ht="14.25" customHeight="1" x14ac:dyDescent="0.3">
      <c r="B8" s="12">
        <v>10</v>
      </c>
      <c r="C8" s="50" t="s">
        <v>25</v>
      </c>
      <c r="D8" s="13">
        <v>1</v>
      </c>
      <c r="E8" s="16"/>
      <c r="F8" s="14"/>
      <c r="G8" s="14">
        <v>0.2</v>
      </c>
      <c r="H8" s="14">
        <v>0.4</v>
      </c>
      <c r="I8" s="31">
        <v>0.2</v>
      </c>
      <c r="J8" s="37">
        <v>0.1</v>
      </c>
      <c r="K8" s="14">
        <v>0.1</v>
      </c>
      <c r="L8" s="14"/>
      <c r="M8" s="14"/>
      <c r="N8" s="43"/>
      <c r="O8" s="37"/>
      <c r="P8" s="15"/>
    </row>
    <row r="9" spans="2:18" ht="14.25" customHeight="1" x14ac:dyDescent="0.3">
      <c r="B9" s="12">
        <v>11</v>
      </c>
      <c r="C9" s="50" t="s">
        <v>23</v>
      </c>
      <c r="D9" s="13">
        <v>1</v>
      </c>
      <c r="E9" s="16"/>
      <c r="F9" s="14"/>
      <c r="G9" s="14"/>
      <c r="H9" s="14"/>
      <c r="I9" s="31"/>
      <c r="J9" s="37"/>
      <c r="K9" s="14">
        <v>0.5</v>
      </c>
      <c r="L9" s="14">
        <v>0.5</v>
      </c>
      <c r="M9" s="14"/>
      <c r="N9" s="43"/>
      <c r="O9" s="37"/>
      <c r="P9" s="15"/>
    </row>
    <row r="10" spans="2:18" ht="14.25" customHeight="1" x14ac:dyDescent="0.3">
      <c r="B10" s="12">
        <v>12</v>
      </c>
      <c r="C10" s="50" t="s">
        <v>24</v>
      </c>
      <c r="D10" s="13">
        <v>1</v>
      </c>
      <c r="E10" s="16"/>
      <c r="F10" s="14"/>
      <c r="G10" s="14"/>
      <c r="H10" s="14"/>
      <c r="I10" s="31"/>
      <c r="J10" s="37"/>
      <c r="K10" s="14">
        <v>0.2</v>
      </c>
      <c r="L10" s="14"/>
      <c r="M10" s="14"/>
      <c r="N10" s="43">
        <v>0.5</v>
      </c>
      <c r="O10" s="37">
        <v>0.3</v>
      </c>
      <c r="P10" s="15"/>
    </row>
    <row r="11" spans="2:18" ht="14.25" customHeight="1" thickBot="1" x14ac:dyDescent="0.35">
      <c r="B11" s="12">
        <v>13</v>
      </c>
      <c r="C11" s="50" t="s">
        <v>26</v>
      </c>
      <c r="D11" s="13">
        <v>2</v>
      </c>
      <c r="E11" s="16"/>
      <c r="F11" s="14"/>
      <c r="G11" s="14"/>
      <c r="H11" s="14"/>
      <c r="I11" s="31"/>
      <c r="J11" s="37"/>
      <c r="K11" s="14">
        <v>1</v>
      </c>
      <c r="L11" s="14">
        <v>0.7</v>
      </c>
      <c r="M11" s="14">
        <v>0.3</v>
      </c>
      <c r="N11" s="43"/>
      <c r="O11" s="37"/>
      <c r="P11" s="15"/>
    </row>
    <row r="12" spans="2:18" ht="14.25" customHeight="1" x14ac:dyDescent="0.3">
      <c r="B12" s="51" t="s">
        <v>15</v>
      </c>
      <c r="C12" s="52"/>
      <c r="D12" s="18">
        <v>0</v>
      </c>
      <c r="E12" s="19">
        <f t="shared" ref="E12:P12" si="0">SUM(E6:E11)</f>
        <v>0</v>
      </c>
      <c r="F12" s="20">
        <f t="shared" si="0"/>
        <v>1</v>
      </c>
      <c r="G12" s="20">
        <f t="shared" si="0"/>
        <v>0.2</v>
      </c>
      <c r="H12" s="20">
        <f t="shared" si="0"/>
        <v>1.4</v>
      </c>
      <c r="I12" s="34">
        <f t="shared" si="0"/>
        <v>1.7</v>
      </c>
      <c r="J12" s="38">
        <f t="shared" si="0"/>
        <v>0.30000000000000004</v>
      </c>
      <c r="K12" s="20">
        <f t="shared" si="0"/>
        <v>1.8</v>
      </c>
      <c r="L12" s="20">
        <f>SUM(L6:L11)</f>
        <v>2.5999999999999996</v>
      </c>
      <c r="M12" s="20">
        <f t="shared" si="0"/>
        <v>0.7</v>
      </c>
      <c r="N12" s="45">
        <f t="shared" si="0"/>
        <v>0.5</v>
      </c>
      <c r="O12" s="20">
        <f t="shared" si="0"/>
        <v>0.3</v>
      </c>
      <c r="P12" s="21">
        <f t="shared" si="0"/>
        <v>0</v>
      </c>
    </row>
    <row r="13" spans="2:18" ht="14.25" customHeight="1" x14ac:dyDescent="0.3">
      <c r="B13" s="53" t="s">
        <v>16</v>
      </c>
      <c r="C13" s="54"/>
      <c r="D13" s="22">
        <f>SUM(D6:D12)</f>
        <v>14</v>
      </c>
      <c r="E13" s="23">
        <f t="shared" ref="E13:P13" si="1">D13-SUM(E6:E11)</f>
        <v>14</v>
      </c>
      <c r="F13" s="24">
        <f t="shared" si="1"/>
        <v>13</v>
      </c>
      <c r="G13" s="24">
        <f t="shared" si="1"/>
        <v>12.8</v>
      </c>
      <c r="H13" s="24">
        <f t="shared" si="1"/>
        <v>11.4</v>
      </c>
      <c r="I13" s="35">
        <f t="shared" si="1"/>
        <v>9.7000000000000011</v>
      </c>
      <c r="J13" s="39">
        <f t="shared" si="1"/>
        <v>9.4</v>
      </c>
      <c r="K13" s="26">
        <f t="shared" si="1"/>
        <v>7.6000000000000005</v>
      </c>
      <c r="L13" s="26">
        <f t="shared" si="1"/>
        <v>5.0000000000000009</v>
      </c>
      <c r="M13" s="26">
        <f t="shared" si="1"/>
        <v>4.3000000000000007</v>
      </c>
      <c r="N13" s="46">
        <f t="shared" si="1"/>
        <v>3.8000000000000007</v>
      </c>
      <c r="O13" s="44">
        <f t="shared" si="1"/>
        <v>3.5000000000000009</v>
      </c>
      <c r="P13" s="25">
        <f t="shared" si="1"/>
        <v>3.5000000000000009</v>
      </c>
    </row>
    <row r="14" spans="2:18" ht="14.25" customHeight="1" thickBot="1" x14ac:dyDescent="0.35">
      <c r="B14" s="55" t="s">
        <v>17</v>
      </c>
      <c r="C14" s="56"/>
      <c r="D14" s="27">
        <f>D13</f>
        <v>14</v>
      </c>
      <c r="E14" s="28">
        <f>$D$14-($D$14/12*1)</f>
        <v>12.833333333333334</v>
      </c>
      <c r="F14" s="28">
        <f>$D$14-($D$14/12*2)</f>
        <v>11.666666666666666</v>
      </c>
      <c r="G14" s="28">
        <f>$D$14-($D$14/12*3)</f>
        <v>10.5</v>
      </c>
      <c r="H14" s="28">
        <f>$D$14-($D$14/12*4)</f>
        <v>9.3333333333333321</v>
      </c>
      <c r="I14" s="40">
        <f>$D$14-($D$14/12*5)</f>
        <v>8.1666666666666661</v>
      </c>
      <c r="J14" s="41">
        <f>$D$14-($D$14/12*6)</f>
        <v>7</v>
      </c>
      <c r="K14" s="28">
        <f>$D$14-($D$14/12*7)</f>
        <v>5.8333333333333321</v>
      </c>
      <c r="L14" s="28">
        <f>$D$14-($D$14/12*8)</f>
        <v>4.6666666666666661</v>
      </c>
      <c r="M14" s="28">
        <f>$D$14-($D$14/12*9)</f>
        <v>3.5</v>
      </c>
      <c r="N14" s="29">
        <f>$D$14-($D$14/12*10)</f>
        <v>2.3333333333333321</v>
      </c>
      <c r="O14" s="28">
        <f>$D$14-($D$14/12*11)</f>
        <v>1.1666666666666661</v>
      </c>
      <c r="P14" s="29">
        <f>$D$14-($D$14/12*12)</f>
        <v>0</v>
      </c>
    </row>
    <row r="15" spans="2:18" ht="14.25" customHeight="1" x14ac:dyDescent="0.3"/>
    <row r="16" spans="2:1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</sheetData>
  <mergeCells count="7">
    <mergeCell ref="B12:C12"/>
    <mergeCell ref="B13:C13"/>
    <mergeCell ref="B14:C14"/>
    <mergeCell ref="E3:P3"/>
    <mergeCell ref="B2:P2"/>
    <mergeCell ref="B4:B5"/>
    <mergeCell ref="C4:C5"/>
  </mergeCells>
  <phoneticPr fontId="7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Diogo Antunes</cp:lastModifiedBy>
  <dcterms:created xsi:type="dcterms:W3CDTF">2021-11-14T17:33:15Z</dcterms:created>
  <dcterms:modified xsi:type="dcterms:W3CDTF">2025-10-20T14:22:48Z</dcterms:modified>
</cp:coreProperties>
</file>