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Sprint6\burndown\"/>
    </mc:Choice>
  </mc:AlternateContent>
  <xr:revisionPtr revIDLastSave="0" documentId="13_ncr:1_{82AEDA1E-BD0C-4EC8-BE8B-8CD079626636}" xr6:coauthVersionLast="47" xr6:coauthVersionMax="47" xr10:uidLastSave="{00000000-0000-0000-0000-000000000000}"/>
  <bookViews>
    <workbookView xWindow="-120" yWindow="-120" windowWidth="29040" windowHeight="15720" firstSheet="3" activeTab="6" xr2:uid="{00000000-000D-0000-FFFF-FFFF00000000}"/>
  </bookViews>
  <sheets>
    <sheet name="Burndown Chart Sprint1" sheetId="1" r:id="rId1"/>
    <sheet name="Folha2" sheetId="7" r:id="rId2"/>
    <sheet name="Burndown Chart Sprint2" sheetId="2" r:id="rId3"/>
    <sheet name="Burndown Chart Sprint3" sheetId="3" r:id="rId4"/>
    <sheet name="Burndown Chart Sprint4" sheetId="4" r:id="rId5"/>
    <sheet name="Burndown Chart Sprint5" sheetId="5" r:id="rId6"/>
    <sheet name="Burndown Chart Sprint6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D26" i="6" l="1"/>
  <c r="I26" i="6" s="1"/>
  <c r="D25" i="6"/>
  <c r="N23" i="6"/>
  <c r="L23" i="6" s="1"/>
  <c r="N22" i="6"/>
  <c r="L22" i="6" s="1"/>
  <c r="N21" i="6"/>
  <c r="L21" i="6" s="1"/>
  <c r="N20" i="6"/>
  <c r="L20" i="6" s="1"/>
  <c r="N19" i="6"/>
  <c r="L19" i="6"/>
  <c r="N18" i="6"/>
  <c r="L18" i="6" s="1"/>
  <c r="N17" i="6"/>
  <c r="L17" i="6"/>
  <c r="N16" i="6"/>
  <c r="L16" i="6" s="1"/>
  <c r="N15" i="6"/>
  <c r="L15" i="6" s="1"/>
  <c r="N14" i="6"/>
  <c r="L14" i="6" s="1"/>
  <c r="N13" i="6"/>
  <c r="L13" i="6" s="1"/>
  <c r="N12" i="6"/>
  <c r="L12" i="6" s="1"/>
  <c r="N11" i="6"/>
  <c r="L11" i="6" s="1"/>
  <c r="N10" i="6"/>
  <c r="L10" i="6"/>
  <c r="N9" i="6"/>
  <c r="L9" i="6" s="1"/>
  <c r="N8" i="6"/>
  <c r="L8" i="6" s="1"/>
  <c r="N7" i="6"/>
  <c r="L7" i="6" s="1"/>
  <c r="N6" i="6"/>
  <c r="L6" i="6"/>
  <c r="N12" i="5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/>
  <c r="N22" i="3"/>
  <c r="L22" i="3" s="1"/>
  <c r="N21" i="3"/>
  <c r="L21" i="3"/>
  <c r="N20" i="3"/>
  <c r="L20" i="3" s="1"/>
  <c r="N19" i="3"/>
  <c r="L19" i="3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E26" i="6" l="1"/>
  <c r="K26" i="6"/>
  <c r="F26" i="6"/>
  <c r="G26" i="6"/>
  <c r="H26" i="6"/>
  <c r="J26" i="6"/>
  <c r="G17" i="2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  <c r="F24" i="6"/>
  <c r="K25" i="6"/>
  <c r="J25" i="6"/>
  <c r="I25" i="6"/>
  <c r="H25" i="6"/>
  <c r="G25" i="6"/>
  <c r="F25" i="6"/>
  <c r="E25" i="6"/>
  <c r="E24" i="6"/>
  <c r="G24" i="6"/>
  <c r="K24" i="6"/>
  <c r="I24" i="6"/>
  <c r="J24" i="6"/>
  <c r="H24" i="6"/>
</calcChain>
</file>

<file path=xl/sharedStrings.xml><?xml version="1.0" encoding="utf-8"?>
<sst xmlns="http://schemas.openxmlformats.org/spreadsheetml/2006/main" count="277" uniqueCount="112">
  <si>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</si>
  <si>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</si>
  <si>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</si>
  <si>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</si>
  <si>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</si>
  <si>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</si>
  <si>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</si>
  <si>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</si>
  <si>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</si>
  <si>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</si>
  <si>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</si>
  <si>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</si>
  <si>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</si>
  <si>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</si>
  <si>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</si>
  <si>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</si>
  <si>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</si>
  <si>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</si>
  <si>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</si>
  <si>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</si>
  <si>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</si>
  <si>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</si>
  <si>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</si>
  <si>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</si>
  <si>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</si>
  <si>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</si>
  <si>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</si>
  <si>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</si>
  <si>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</si>
  <si>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</si>
  <si>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</si>
  <si>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</si>
  <si>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</si>
  <si>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</si>
  <si>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</si>
  <si>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</si>
  <si>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</si>
  <si>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</si>
  <si>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</si>
  <si>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</si>
  <si>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</si>
  <si>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</si>
  <si>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</si>
  <si>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</si>
  <si>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</si>
  <si>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</si>
  <si>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</si>
  <si>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</si>
  <si>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</si>
  <si>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</si>
  <si>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</si>
  <si>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</si>
  <si>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</si>
  <si>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</si>
  <si>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</si>
  <si>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</si>
  <si>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</si>
  <si>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</si>
  <si>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</si>
  <si>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</si>
  <si>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</si>
  <si>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</si>
  <si>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</si>
  <si>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</si>
  <si>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</si>
  <si>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</si>
  <si>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</si>
  <si>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</si>
  <si>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</si>
  <si>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</si>
  <si>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</si>
  <si>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</si>
  <si>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</si>
  <si>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</si>
  <si>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</si>
  <si>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</si>
  <si>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</si>
  <si>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</si>
  <si>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</si>
  <si>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</si>
  <si>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</si>
  <si>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</si>
  <si>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</si>
  <si>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</si>
  <si>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</si>
  <si>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</si>
  <si>
    <t>Sprint 6 Burndown Chart</t>
  </si>
  <si>
    <t>31.1</t>
  </si>
  <si>
    <t>31.2</t>
  </si>
  <si>
    <t>32.1</t>
  </si>
  <si>
    <t>32.2</t>
  </si>
  <si>
    <t>33.1</t>
  </si>
  <si>
    <t>33.2</t>
  </si>
  <si>
    <t>34.1</t>
  </si>
  <si>
    <t>34.2</t>
  </si>
  <si>
    <t>37.1</t>
  </si>
  <si>
    <t>37.2</t>
  </si>
  <si>
    <t>38.1</t>
  </si>
  <si>
    <t>38.2</t>
  </si>
  <si>
    <t>Manuel</t>
  </si>
  <si>
    <t>Work on implementing US3 (turret's targeting).</t>
  </si>
  <si>
    <t>Work on implementing US4 (copy and its history).</t>
  </si>
  <si>
    <t>Look into what a Use Case covering US3 would look like (turret's targeting).</t>
  </si>
  <si>
    <t>Look into what a Use Case covering US4 would look like (copy and its history).</t>
  </si>
  <si>
    <t>Work on the extensive version of US1's use case (undo/redo).</t>
  </si>
  <si>
    <t>Work on the extensive version of US2's use case (liquid leak checking).</t>
  </si>
  <si>
    <t>Work on the extensive version of US3's use case (turret's targeting).</t>
  </si>
  <si>
    <t>Work on the extensive version of US4's use case (copy and its history).</t>
  </si>
  <si>
    <t>Work on the sequence diagram for US1 (undo/redo).</t>
  </si>
  <si>
    <t>Work on the sequence diagram for US2 (liquid leak checking).</t>
  </si>
  <si>
    <t>Look into what a Class Diagram covering US1 would look like (undo/redo).</t>
  </si>
  <si>
    <t>Look into what a class diagram covering US2 would look like (liquid leak checking).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</si>
</sst>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65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7" fillId="0" borderId="2" xfId="0" applyFont="1" applyBorder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center"/>
    </xf>
    <xf numFmtId="0" fontId="8" fillId="0" borderId="2" xfId="0" applyFont="1" applyBorder="1"/>
    <xf numFmtId="0" fontId="3" fillId="10" borderId="48" xfId="0" applyFont="1" applyFill="1" applyBorder="1" applyAlignment="1">
      <alignment horizontal="center"/>
    </xf>
    <xf numFmtId="164" fontId="3" fillId="10" borderId="48" xfId="0" applyNumberFormat="1" applyFont="1" applyFill="1" applyBorder="1" applyAlignment="1">
      <alignment horizontal="center"/>
    </xf>
    <xf numFmtId="164" fontId="3" fillId="10" borderId="49" xfId="0" applyNumberFormat="1" applyFont="1" applyFill="1" applyBorder="1" applyAlignment="1">
      <alignment horizontal="center"/>
    </xf>
    <xf numFmtId="0" fontId="3" fillId="9" borderId="53" xfId="0" applyFont="1" applyFill="1" applyBorder="1" applyAlignment="1">
      <alignment horizontal="center"/>
    </xf>
    <xf numFmtId="164" fontId="3" fillId="9" borderId="54" xfId="0" applyNumberFormat="1" applyFont="1" applyFill="1" applyBorder="1" applyAlignment="1">
      <alignment horizontal="center"/>
    </xf>
    <xf numFmtId="164" fontId="3" fillId="9" borderId="55" xfId="0" applyNumberFormat="1" applyFont="1" applyFill="1" applyBorder="1" applyAlignment="1">
      <alignment horizontal="center"/>
    </xf>
    <xf numFmtId="164" fontId="3" fillId="9" borderId="53" xfId="0" applyNumberFormat="1" applyFont="1" applyFill="1" applyBorder="1" applyAlignment="1">
      <alignment horizontal="center"/>
    </xf>
    <xf numFmtId="164" fontId="3" fillId="9" borderId="56" xfId="0" applyNumberFormat="1" applyFont="1" applyFill="1" applyBorder="1" applyAlignment="1">
      <alignment horizontal="center"/>
    </xf>
    <xf numFmtId="0" fontId="3" fillId="0" borderId="2" xfId="0" applyFont="1" applyBorder="1" applyAlignment="1">
      <alignment horizontal="left" wrapText="1"/>
    </xf>
    <xf numFmtId="0" fontId="3" fillId="7" borderId="46" xfId="0" applyFont="1" applyFill="1" applyBorder="1" applyAlignment="1">
      <alignment horizontal="center"/>
    </xf>
    <xf numFmtId="0" fontId="3" fillId="7" borderId="44" xfId="0" applyFont="1" applyFill="1" applyBorder="1" applyAlignment="1">
      <alignment horizontal="center"/>
    </xf>
    <xf numFmtId="0" fontId="3" fillId="8" borderId="53" xfId="0" applyFont="1" applyFill="1" applyBorder="1" applyAlignment="1">
      <alignment horizontal="center"/>
    </xf>
    <xf numFmtId="0" fontId="3" fillId="8" borderId="54" xfId="0" applyFont="1" applyFill="1" applyBorder="1" applyAlignment="1">
      <alignment horizontal="center"/>
    </xf>
    <xf numFmtId="0" fontId="3" fillId="8" borderId="52" xfId="0" applyFont="1" applyFill="1" applyBorder="1" applyAlignment="1">
      <alignment horizontal="center"/>
    </xf>
    <xf numFmtId="0" fontId="3" fillId="8" borderId="57" xfId="0" applyFont="1" applyFill="1" applyBorder="1" applyAlignment="1">
      <alignment horizontal="center"/>
    </xf>
    <xf numFmtId="0" fontId="3" fillId="8" borderId="55" xfId="0" applyFont="1" applyFill="1" applyBorder="1" applyAlignment="1">
      <alignment horizontal="center"/>
    </xf>
    <xf numFmtId="0" fontId="3" fillId="8" borderId="58" xfId="0" applyFont="1" applyFill="1" applyBorder="1" applyAlignment="1">
      <alignment horizontal="center"/>
    </xf>
    <xf numFmtId="0" fontId="3" fillId="7" borderId="59" xfId="0" applyFont="1" applyFill="1" applyBorder="1" applyAlignment="1">
      <alignment horizontal="center"/>
    </xf>
    <xf numFmtId="0" fontId="3" fillId="7" borderId="43" xfId="0" applyFont="1" applyFill="1" applyBorder="1" applyAlignment="1">
      <alignment horizontal="center"/>
    </xf>
    <xf numFmtId="0" fontId="3" fillId="6" borderId="60" xfId="0" applyFont="1" applyFill="1" applyBorder="1" applyAlignment="1">
      <alignment horizontal="center"/>
    </xf>
    <xf numFmtId="0" fontId="3" fillId="6" borderId="61" xfId="0" applyFont="1" applyFill="1" applyBorder="1" applyAlignment="1">
      <alignment horizontal="center"/>
    </xf>
    <xf numFmtId="0" fontId="3" fillId="6" borderId="62" xfId="0" applyFont="1" applyFill="1" applyBorder="1" applyAlignment="1">
      <alignment horizontal="center"/>
    </xf>
    <xf numFmtId="0" fontId="3" fillId="7" borderId="28" xfId="0" applyFont="1" applyFill="1" applyBorder="1" applyAlignment="1">
      <alignment horizontal="center"/>
    </xf>
    <xf numFmtId="0" fontId="3" fillId="7" borderId="63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right" wrapText="1"/>
    </xf>
    <xf numFmtId="0" fontId="4" fillId="5" borderId="21" xfId="0" applyFont="1" applyFill="1" applyBorder="1" applyAlignment="1">
      <alignment horizontal="right" wrapText="1"/>
    </xf>
    <xf numFmtId="0" fontId="4" fillId="5" borderId="45" xfId="0" applyFont="1" applyFill="1" applyBorder="1" applyAlignment="1">
      <alignment horizontal="right" wrapText="1"/>
    </xf>
    <xf numFmtId="15" fontId="4" fillId="3" borderId="28" xfId="0" applyNumberFormat="1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4" borderId="60" xfId="0" applyFont="1" applyFill="1" applyBorder="1" applyAlignment="1">
      <alignment horizontal="center"/>
    </xf>
    <xf numFmtId="0" fontId="4" fillId="4" borderId="62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  <xf numFmtId="0" fontId="4" fillId="8" borderId="51" xfId="0" applyFont="1" applyFill="1" applyBorder="1" applyAlignment="1">
      <alignment horizontal="center" wrapText="1"/>
    </xf>
    <xf numFmtId="0" fontId="2" fillId="0" borderId="52" xfId="0" applyFont="1" applyBorder="1"/>
    <xf numFmtId="0" fontId="4" fillId="9" borderId="51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0" fontId="2" fillId="0" borderId="48" xfId="0" applyFont="1" applyBorder="1"/>
    <xf numFmtId="0" fontId="4" fillId="3" borderId="50" xfId="0" applyFont="1" applyFill="1" applyBorder="1" applyAlignment="1">
      <alignment horizontal="center" vertical="center"/>
    </xf>
    <xf numFmtId="0" fontId="2" fillId="0" borderId="64" xfId="0" applyFont="1" applyBorder="1"/>
  </cellXfs>
  <cellStyles count="1">
    <cellStyle name="Normal" xfId="0" builtinId="0"/>
  </cellStyles>
  <dxfs count="16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Sprint6'!$D$38:$K$38</c:f>
              <c:numCache>
                <c:formatCode>General</c:formatCode>
                <c:ptCount val="8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4D4-4742-81A4-441B27362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Sprint6'!$D$39:$K$39</c:f>
              <c:numCache>
                <c:formatCode>General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D4-4742-81A4-441B273627E2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Sprint6'!$D$40:$K$40</c:f>
              <c:numCache>
                <c:formatCode>General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D4-4742-81A4-441B27362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590550</xdr:colOff>
      <xdr:row>29</xdr:row>
      <xdr:rowOff>133350</xdr:rowOff>
    </xdr:from>
    <xdr:ext cx="9639300" cy="4886325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6275FD17-D533-4BF7-A893-F8C0FB6C9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B1" workbookViewId="0">
      <selection activeCell="D14" sqref="D14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4" width="10" customWidth="1"/>
    <col min="15" max="15" width="9.7109375" customWidth="1"/>
    <col min="16" max="16" width="9.5703125" customWidth="1"/>
    <col min="17" max="18" width="8.7109375" customWidth="1"/>
  </cols>
  <sheetData>
    <row r="1" spans="2:18" ht="14.25" customHeight="1" x14ac:dyDescent="0.25"/>
    <row r="2" spans="2:18" ht="23.25" customHeight="1" x14ac:dyDescent="0.4">
      <c r="B2" s="96" t="s">
        <v>0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8"/>
      <c r="R2" s="1"/>
    </row>
    <row r="3" spans="2:18" ht="14.25" customHeight="1" x14ac:dyDescent="0.25">
      <c r="B3" s="2"/>
      <c r="C3" s="3"/>
      <c r="D3" s="3"/>
      <c r="E3" s="99" t="s">
        <v>1</v>
      </c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4"/>
    </row>
    <row r="4" spans="2:18" ht="14.25" customHeight="1" x14ac:dyDescent="0.25">
      <c r="B4" s="101" t="s">
        <v>2</v>
      </c>
      <c r="C4" s="103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25">
      <c r="B5" s="102"/>
      <c r="C5" s="104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2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2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2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2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2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2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25">
      <c r="B12" s="105" t="s">
        <v>24</v>
      </c>
      <c r="C12" s="106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25">
      <c r="B13" s="92" t="s">
        <v>25</v>
      </c>
      <c r="C13" s="93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25">
      <c r="B14" s="94" t="s">
        <v>26</v>
      </c>
      <c r="C14" s="95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25"/>
    <row r="16" spans="2:18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02847-0711-498E-99DE-5C5B6511AE8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topLeftCell="A16" workbookViewId="0">
      <selection activeCell="D17" sqref="D17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1" width="10" customWidth="1"/>
    <col min="12" max="13" width="8.7109375" customWidth="1"/>
  </cols>
  <sheetData>
    <row r="1" spans="2:13" ht="14.25" customHeight="1" x14ac:dyDescent="0.25"/>
    <row r="2" spans="2:13" ht="23.25" customHeight="1" x14ac:dyDescent="0.4">
      <c r="B2" s="107" t="s">
        <v>27</v>
      </c>
      <c r="C2" s="97"/>
      <c r="D2" s="97"/>
      <c r="E2" s="97"/>
      <c r="F2" s="97"/>
      <c r="G2" s="97"/>
      <c r="H2" s="97"/>
      <c r="I2" s="97"/>
      <c r="J2" s="97"/>
      <c r="K2" s="98"/>
      <c r="M2" s="1"/>
    </row>
    <row r="3" spans="2:13" ht="14.25" customHeight="1" x14ac:dyDescent="0.25">
      <c r="B3" s="2"/>
      <c r="C3" s="3"/>
      <c r="D3" s="3"/>
      <c r="E3" s="99" t="s">
        <v>1</v>
      </c>
      <c r="F3" s="100"/>
      <c r="G3" s="100"/>
      <c r="H3" s="100"/>
      <c r="I3" s="100"/>
      <c r="J3" s="100"/>
      <c r="K3" s="100"/>
      <c r="L3" s="4"/>
    </row>
    <row r="4" spans="2:13" ht="14.25" customHeight="1" x14ac:dyDescent="0.25">
      <c r="B4" s="101" t="s">
        <v>2</v>
      </c>
      <c r="C4" s="103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25">
      <c r="B5" s="102"/>
      <c r="C5" s="104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2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2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2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2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2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2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2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2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2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25">
      <c r="B15" s="105" t="s">
        <v>24</v>
      </c>
      <c r="C15" s="106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25">
      <c r="B16" s="92" t="s">
        <v>25</v>
      </c>
      <c r="C16" s="93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25">
      <c r="B17" s="94" t="s">
        <v>35</v>
      </c>
      <c r="C17" s="95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25"/>
    <row r="19" spans="2:11" ht="14.25" customHeight="1" x14ac:dyDescent="0.25"/>
    <row r="20" spans="2:11" ht="14.25" customHeight="1" x14ac:dyDescent="0.25"/>
    <row r="21" spans="2:11" ht="14.25" customHeight="1" x14ac:dyDescent="0.25"/>
    <row r="22" spans="2:11" ht="14.25" customHeight="1" x14ac:dyDescent="0.25"/>
    <row r="23" spans="2:11" ht="14.25" customHeight="1" x14ac:dyDescent="0.25"/>
    <row r="24" spans="2:11" ht="14.25" customHeight="1" x14ac:dyDescent="0.25"/>
    <row r="25" spans="2:11" ht="14.25" customHeight="1" x14ac:dyDescent="0.25"/>
    <row r="26" spans="2:11" ht="14.25" customHeight="1" x14ac:dyDescent="0.25"/>
    <row r="27" spans="2:11" ht="14.25" customHeight="1" x14ac:dyDescent="0.25"/>
    <row r="28" spans="2:11" ht="14.25" customHeight="1" x14ac:dyDescent="0.25"/>
    <row r="29" spans="2:11" ht="14.25" customHeight="1" x14ac:dyDescent="0.25"/>
    <row r="30" spans="2:11" ht="14.25" customHeight="1" x14ac:dyDescent="0.25"/>
    <row r="31" spans="2:11" ht="14.25" customHeight="1" x14ac:dyDescent="0.25"/>
    <row r="32" spans="2:1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3" workbookViewId="0">
      <selection activeCell="D39" sqref="D39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7" t="s">
        <v>36</v>
      </c>
      <c r="C2" s="97"/>
      <c r="D2" s="97"/>
      <c r="E2" s="97"/>
      <c r="F2" s="97"/>
      <c r="G2" s="97"/>
      <c r="H2" s="97"/>
      <c r="I2" s="97"/>
      <c r="J2" s="97"/>
      <c r="K2" s="97"/>
      <c r="M2" s="1"/>
    </row>
    <row r="3" spans="2:16" ht="14.25" customHeight="1" x14ac:dyDescent="0.25">
      <c r="B3" s="42"/>
      <c r="C3" s="43"/>
      <c r="D3" s="43"/>
      <c r="E3" s="99" t="s">
        <v>1</v>
      </c>
      <c r="F3" s="100"/>
      <c r="G3" s="100"/>
      <c r="H3" s="100"/>
      <c r="I3" s="100"/>
      <c r="J3" s="100"/>
      <c r="K3" s="100"/>
      <c r="L3" s="4"/>
    </row>
    <row r="4" spans="2:16" ht="14.25" customHeight="1" x14ac:dyDescent="0.25">
      <c r="B4" s="101" t="s">
        <v>2</v>
      </c>
      <c r="C4" s="103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25">
      <c r="B5" s="102"/>
      <c r="C5" s="104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108" t="str">
        <f t="shared" ref="L6:L37" si="0">IF(N6=0, "NOT STARTED",IF(N6&gt;D6, "ERROR TO MUCH WORK", IF(N6=D6, "DONE", "NOT ENOUGH WORK YET")))</f>
        <v>DONE</v>
      </c>
      <c r="M6" s="109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2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108" t="str">
        <f t="shared" si="0"/>
        <v>NOT ENOUGH WORK YET</v>
      </c>
      <c r="M7" s="109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2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108" t="str">
        <f t="shared" si="0"/>
        <v>DONE</v>
      </c>
      <c r="M8" s="109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2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108" t="str">
        <f t="shared" si="0"/>
        <v>DONE</v>
      </c>
      <c r="M9" s="109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2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108" t="str">
        <f t="shared" si="0"/>
        <v>DONE</v>
      </c>
      <c r="M10" s="109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2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108" t="str">
        <f t="shared" si="0"/>
        <v>DONE</v>
      </c>
      <c r="M11" s="109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2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108" t="str">
        <f t="shared" si="0"/>
        <v>NOT ENOUGH WORK YET</v>
      </c>
      <c r="M12" s="109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2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108" t="str">
        <f t="shared" si="0"/>
        <v>DONE</v>
      </c>
      <c r="M13" s="109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2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108" t="str">
        <f t="shared" si="0"/>
        <v>NOT ENOUGH WORK YET</v>
      </c>
      <c r="M14" s="109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2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108" t="str">
        <f t="shared" si="0"/>
        <v>NOT ENOUGH WORK YET</v>
      </c>
      <c r="M15" s="109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2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108" t="str">
        <f t="shared" si="0"/>
        <v>NOT ENOUGH WORK YET</v>
      </c>
      <c r="M16" s="109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2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108" t="str">
        <f t="shared" si="0"/>
        <v>NOT ENOUGH WORK YET</v>
      </c>
      <c r="M17" s="109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2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108" t="str">
        <f t="shared" si="0"/>
        <v>NOT STARTED</v>
      </c>
      <c r="M18" s="109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2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108" t="str">
        <f t="shared" si="0"/>
        <v>NOT ENOUGH WORK YET</v>
      </c>
      <c r="M19" s="109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2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108" t="str">
        <f t="shared" si="0"/>
        <v>DONE</v>
      </c>
      <c r="M20" s="109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2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108" t="str">
        <f t="shared" si="0"/>
        <v>DONE</v>
      </c>
      <c r="M21" s="109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2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108" t="str">
        <f t="shared" si="0"/>
        <v>DONE</v>
      </c>
      <c r="M22" s="109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2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108" t="str">
        <f t="shared" si="0"/>
        <v>NOT ENOUGH WORK YET</v>
      </c>
      <c r="M23" s="109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2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108" t="str">
        <f t="shared" si="0"/>
        <v>NOT STARTED</v>
      </c>
      <c r="M24" s="109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2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108" t="str">
        <f t="shared" si="0"/>
        <v>NOT ENOUGH WORK YET</v>
      </c>
      <c r="M25" s="109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2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108" t="str">
        <f t="shared" si="0"/>
        <v>DONE</v>
      </c>
      <c r="M26" s="109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2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108" t="str">
        <f t="shared" si="0"/>
        <v>DONE</v>
      </c>
      <c r="M27" s="109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2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108" t="str">
        <f t="shared" si="0"/>
        <v>DONE</v>
      </c>
      <c r="M28" s="109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2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108" t="str">
        <f t="shared" si="0"/>
        <v>NOT ENOUGH WORK YET</v>
      </c>
      <c r="M29" s="109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2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108" t="str">
        <f t="shared" si="0"/>
        <v>NOT STARTED</v>
      </c>
      <c r="M30" s="109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2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108" t="str">
        <f t="shared" si="0"/>
        <v>NOT ENOUGH WORK YET</v>
      </c>
      <c r="M31" s="109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2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108" t="str">
        <f t="shared" si="0"/>
        <v>NOT ENOUGH WORK YET</v>
      </c>
      <c r="M32" s="109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2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108" t="str">
        <f t="shared" si="0"/>
        <v>NOT ENOUGH WORK YET</v>
      </c>
      <c r="M33" s="109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2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108" t="str">
        <f t="shared" si="0"/>
        <v>NOT ENOUGH WORK YET</v>
      </c>
      <c r="M34" s="109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2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108" t="str">
        <f t="shared" si="0"/>
        <v>NOT STARTED</v>
      </c>
      <c r="M35" s="109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2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108" t="str">
        <f t="shared" si="0"/>
        <v>NOT STARTED</v>
      </c>
      <c r="M36" s="109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2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108" t="str">
        <f t="shared" si="0"/>
        <v>NOT ENOUGH WORK YET</v>
      </c>
      <c r="M37" s="109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25">
      <c r="B38" s="105" t="s">
        <v>24</v>
      </c>
      <c r="C38" s="106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25">
      <c r="B39" s="92" t="s">
        <v>25</v>
      </c>
      <c r="C39" s="93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x14ac:dyDescent="0.25">
      <c r="B40" s="94" t="s">
        <v>74</v>
      </c>
      <c r="C40" s="95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25"/>
    <row r="42" spans="2:16" ht="14.25" customHeight="1" x14ac:dyDescent="0.25"/>
    <row r="43" spans="2:16" ht="14.25" customHeight="1" x14ac:dyDescent="0.25"/>
    <row r="44" spans="2:16" ht="14.25" customHeight="1" x14ac:dyDescent="0.25"/>
    <row r="45" spans="2:16" ht="14.25" customHeight="1" x14ac:dyDescent="0.25"/>
    <row r="46" spans="2:16" ht="14.25" customHeight="1" x14ac:dyDescent="0.25"/>
    <row r="47" spans="2:16" ht="14.25" customHeight="1" x14ac:dyDescent="0.25"/>
    <row r="48" spans="2:16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5" priority="1" operator="equal">
      <formula>"DONE"</formula>
    </cfRule>
  </conditionalFormatting>
  <conditionalFormatting sqref="L6:M37">
    <cfRule type="cellIs" dxfId="14" priority="2" operator="equal">
      <formula>"NOT ENOUGH WORK YET"</formula>
    </cfRule>
    <cfRule type="cellIs" dxfId="13" priority="3" operator="equal">
      <formula>"ERROR TO MUCH WORK"</formula>
    </cfRule>
    <cfRule type="cellIs" dxfId="12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3" workbookViewId="0">
      <selection activeCell="D28" sqref="D2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1:16" ht="14.25" customHeight="1" x14ac:dyDescent="0.25"/>
    <row r="2" spans="1:16" ht="23.25" customHeight="1" x14ac:dyDescent="0.4">
      <c r="B2" s="107" t="s">
        <v>36</v>
      </c>
      <c r="C2" s="97"/>
      <c r="D2" s="97"/>
      <c r="E2" s="97"/>
      <c r="F2" s="97"/>
      <c r="G2" s="97"/>
      <c r="H2" s="97"/>
      <c r="I2" s="97"/>
      <c r="J2" s="97"/>
      <c r="K2" s="97"/>
      <c r="M2" s="1"/>
    </row>
    <row r="3" spans="1:16" ht="14.25" customHeight="1" x14ac:dyDescent="0.25">
      <c r="B3" s="42"/>
      <c r="C3" s="43"/>
      <c r="D3" s="43"/>
      <c r="E3" s="99" t="s">
        <v>1</v>
      </c>
      <c r="F3" s="100"/>
      <c r="G3" s="100"/>
      <c r="H3" s="100"/>
      <c r="I3" s="100"/>
      <c r="J3" s="100"/>
      <c r="K3" s="100"/>
      <c r="L3" s="4"/>
    </row>
    <row r="4" spans="1:16" ht="14.25" customHeight="1" x14ac:dyDescent="0.25">
      <c r="B4" s="101" t="s">
        <v>2</v>
      </c>
      <c r="C4" s="103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25">
      <c r="B5" s="102"/>
      <c r="C5" s="104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2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108" t="str">
        <f t="shared" ref="L6:L25" si="0">IF(N6=0, "NOT STARTED",IF(N6&gt;D6, "ERROR TO MUCH WORK", IF(N6=D6, "DONE", "NOT ENOUGH WORK YET")))</f>
        <v>NOT ENOUGH WORK YET</v>
      </c>
      <c r="M6" s="109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2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108" t="str">
        <f t="shared" si="0"/>
        <v>NOT ENOUGH WORK YET</v>
      </c>
      <c r="M7" s="109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2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108" t="str">
        <f t="shared" si="0"/>
        <v>NOT ENOUGH WORK YET</v>
      </c>
      <c r="M8" s="109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2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108" t="str">
        <f t="shared" si="0"/>
        <v>NOT ENOUGH WORK YET</v>
      </c>
      <c r="M9" s="109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2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108" t="str">
        <f t="shared" si="0"/>
        <v>NOT ENOUGH WORK YET</v>
      </c>
      <c r="M10" s="109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2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108" t="str">
        <f t="shared" si="0"/>
        <v>NOT ENOUGH WORK YET</v>
      </c>
      <c r="M11" s="109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2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108" t="str">
        <f t="shared" si="0"/>
        <v>NOT STARTED</v>
      </c>
      <c r="M12" s="109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2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108" t="str">
        <f t="shared" si="0"/>
        <v>NOT ENOUGH WORK YET</v>
      </c>
      <c r="M13" s="109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2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108" t="str">
        <f t="shared" si="0"/>
        <v>NOT ENOUGH WORK YET</v>
      </c>
      <c r="M14" s="109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2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108" t="str">
        <f t="shared" si="0"/>
        <v>NOT STARTED</v>
      </c>
      <c r="M15" s="109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2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108" t="str">
        <f t="shared" si="0"/>
        <v>NOT ENOUGH WORK YET</v>
      </c>
      <c r="M16" s="109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2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108" t="str">
        <f t="shared" si="0"/>
        <v>NOT ENOUGH WORK YET</v>
      </c>
      <c r="M17" s="109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2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108" t="str">
        <f t="shared" si="0"/>
        <v>NOT STARTED</v>
      </c>
      <c r="M18" s="109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2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108" t="str">
        <f t="shared" si="0"/>
        <v>NOT ENOUGH WORK YET</v>
      </c>
      <c r="M19" s="109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2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108" t="str">
        <f t="shared" si="0"/>
        <v>NOT ENOUGH WORK YET</v>
      </c>
      <c r="M20" s="109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2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108" t="str">
        <f t="shared" si="0"/>
        <v>NOT ENOUGH WORK YET</v>
      </c>
      <c r="M21" s="109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2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108" t="str">
        <f t="shared" si="0"/>
        <v>NOT ENOUGH WORK YET</v>
      </c>
      <c r="M22" s="109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2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108" t="str">
        <f t="shared" si="0"/>
        <v>NOT STARTED</v>
      </c>
      <c r="M23" s="109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2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108" t="str">
        <f t="shared" si="0"/>
        <v>NOT STARTED</v>
      </c>
      <c r="M24" s="109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2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108" t="str">
        <f t="shared" si="0"/>
        <v>NOT ENOUGH WORK YET</v>
      </c>
      <c r="M25" s="109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25">
      <c r="B26" s="105" t="s">
        <v>24</v>
      </c>
      <c r="C26" s="106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25">
      <c r="B27" s="92" t="s">
        <v>25</v>
      </c>
      <c r="C27" s="93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25">
      <c r="B28" s="94" t="s">
        <v>76</v>
      </c>
      <c r="C28" s="95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25"/>
    <row r="30" spans="2:16" ht="14.25" customHeight="1" x14ac:dyDescent="0.25"/>
    <row r="31" spans="2:16" ht="14.25" customHeight="1" x14ac:dyDescent="0.25"/>
    <row r="32" spans="2:1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</sheetData>
  <mergeCells count="27">
    <mergeCell ref="B28:C28"/>
    <mergeCell ref="L18:M18"/>
    <mergeCell ref="L19:M19"/>
    <mergeCell ref="L20:M20"/>
    <mergeCell ref="L21:M21"/>
    <mergeCell ref="L22:M22"/>
    <mergeCell ref="L23:M23"/>
    <mergeCell ref="L24:M24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25">
    <cfRule type="cellIs" dxfId="11" priority="1" operator="equal">
      <formula>"DONE"</formula>
    </cfRule>
  </conditionalFormatting>
  <conditionalFormatting sqref="L6:M25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opLeftCell="C1" workbookViewId="0">
      <selection activeCell="M35" sqref="M3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7" t="s">
        <v>79</v>
      </c>
      <c r="C2" s="97"/>
      <c r="D2" s="97"/>
      <c r="E2" s="97"/>
      <c r="F2" s="97"/>
      <c r="G2" s="97"/>
      <c r="H2" s="97"/>
      <c r="I2" s="97"/>
      <c r="J2" s="97"/>
      <c r="K2" s="97"/>
      <c r="M2" s="1"/>
    </row>
    <row r="3" spans="2:16" ht="14.25" customHeight="1" thickBot="1" x14ac:dyDescent="0.3">
      <c r="B3" s="42"/>
      <c r="C3" s="43"/>
      <c r="D3" s="43"/>
      <c r="E3" s="99" t="s">
        <v>1</v>
      </c>
      <c r="F3" s="100"/>
      <c r="G3" s="100"/>
      <c r="H3" s="100"/>
      <c r="I3" s="100"/>
      <c r="J3" s="100"/>
      <c r="K3" s="100"/>
      <c r="L3" s="4"/>
    </row>
    <row r="4" spans="2:16" ht="14.25" customHeight="1" x14ac:dyDescent="0.25">
      <c r="B4" s="101" t="s">
        <v>2</v>
      </c>
      <c r="C4" s="103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3">
      <c r="B5" s="102"/>
      <c r="C5" s="104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108" t="str">
        <f t="shared" ref="L6:L10" si="0">IF(N6=0, "NOT STARTED",IF(N6&gt;D6, "ERROR TO MUCH WORK", IF(N6=D6, "DONE", "NOT ENOUGH WORK YET")))</f>
        <v>DONE</v>
      </c>
      <c r="M6" s="109"/>
      <c r="N6" s="44">
        <f t="shared" ref="N6:N10" si="1">SUM(E6:K6)</f>
        <v>2</v>
      </c>
      <c r="O6" s="44"/>
      <c r="P6" s="44"/>
    </row>
    <row r="7" spans="2:16" ht="14.25" customHeight="1" x14ac:dyDescent="0.2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108" t="str">
        <f t="shared" si="0"/>
        <v>DONE</v>
      </c>
      <c r="M7" s="109"/>
      <c r="N7" s="44">
        <f t="shared" si="1"/>
        <v>2</v>
      </c>
      <c r="O7" s="44"/>
      <c r="P7" s="44"/>
    </row>
    <row r="8" spans="2:16" ht="14.25" customHeight="1" x14ac:dyDescent="0.2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108" t="str">
        <f t="shared" si="0"/>
        <v>DONE</v>
      </c>
      <c r="M8" s="109"/>
      <c r="N8" s="44">
        <f t="shared" si="1"/>
        <v>2</v>
      </c>
      <c r="O8" s="44"/>
      <c r="P8" s="44"/>
    </row>
    <row r="9" spans="2:16" ht="14.25" customHeight="1" thickBot="1" x14ac:dyDescent="0.3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108" t="str">
        <f t="shared" si="0"/>
        <v>DONE</v>
      </c>
      <c r="M9" s="109"/>
      <c r="N9" s="44">
        <f t="shared" si="1"/>
        <v>2</v>
      </c>
      <c r="O9" s="44"/>
      <c r="P9" s="44"/>
    </row>
    <row r="10" spans="2:16" ht="14.25" customHeight="1" x14ac:dyDescent="0.2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108" t="str">
        <f t="shared" si="0"/>
        <v>DONE</v>
      </c>
      <c r="M10" s="109"/>
      <c r="N10" s="44">
        <f t="shared" si="1"/>
        <v>3</v>
      </c>
      <c r="O10" s="44"/>
      <c r="P10" s="44"/>
    </row>
    <row r="11" spans="2:16" ht="14.25" customHeight="1" x14ac:dyDescent="0.2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110" t="str">
        <f>IF(N11=0, "NOT STARTED",IF(N11&gt;D11, "ERROR TO MUCH WORK", IF(N11=D11, "DONE", "NOT ENOUGH WORK YET")))</f>
        <v>DONE</v>
      </c>
      <c r="M11" s="111"/>
      <c r="N11" s="44">
        <f>SUM(E11:K11)</f>
        <v>2</v>
      </c>
      <c r="O11" s="44"/>
      <c r="P11" s="44"/>
    </row>
    <row r="12" spans="2:16" ht="14.25" customHeight="1" x14ac:dyDescent="0.2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108" t="str">
        <f t="shared" ref="L12" si="2">IF(N12=0, "NOT STARTED",IF(N12&gt;D12, "ERROR TO MUCH WORK", IF(N12=D12, "DONE", "NOT ENOUGH WORK YET")))</f>
        <v>DONE</v>
      </c>
      <c r="M12" s="109"/>
      <c r="N12" s="44">
        <f t="shared" ref="N12" si="3">SUM(E12:K12)</f>
        <v>1.6</v>
      </c>
      <c r="O12" s="44"/>
      <c r="P12" s="44"/>
    </row>
    <row r="13" spans="2:16" ht="14.25" customHeight="1" thickBot="1" x14ac:dyDescent="0.3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110" t="str">
        <f>IF(N13=0, "NOT STARTED",IF(N13&gt;D13, "ERROR TO MUCH WORK", IF(N13=D13, "DONE", "NOT ENOUGH WORK YET")))</f>
        <v>DONE</v>
      </c>
      <c r="M13" s="111"/>
      <c r="N13" s="44">
        <f>SUM(E13:K13)</f>
        <v>1</v>
      </c>
      <c r="O13" s="44"/>
      <c r="P13" s="44"/>
    </row>
    <row r="14" spans="2:16" ht="14.25" customHeight="1" x14ac:dyDescent="0.25">
      <c r="B14" s="105" t="s">
        <v>24</v>
      </c>
      <c r="C14" s="106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25">
      <c r="B15" s="92" t="s">
        <v>25</v>
      </c>
      <c r="C15" s="93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3">
      <c r="B16" s="94" t="s">
        <v>26</v>
      </c>
      <c r="C16" s="95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15"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  <mergeCell ref="B2:K2"/>
    <mergeCell ref="E3:K3"/>
    <mergeCell ref="B4:B5"/>
    <mergeCell ref="C4:C5"/>
    <mergeCell ref="L6:M6"/>
  </mergeCells>
  <conditionalFormatting sqref="L6:L13">
    <cfRule type="cellIs" dxfId="7" priority="4" operator="equal">
      <formula>"DONE"</formula>
    </cfRule>
  </conditionalFormatting>
  <conditionalFormatting sqref="L6:M13">
    <cfRule type="cellIs" dxfId="6" priority="5" operator="equal">
      <formula>"NOT ENOUGH WORK YET"</formula>
    </cfRule>
    <cfRule type="cellIs" dxfId="5" priority="6" operator="equal">
      <formula>"ERROR TO MUCH WORK"</formula>
    </cfRule>
    <cfRule type="cellIs" dxfId="4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F48E-9C64-4E70-BB5A-3E5673E0A3CB}">
  <dimension ref="B2:P37"/>
  <sheetViews>
    <sheetView tabSelected="1" topLeftCell="A23" workbookViewId="0">
      <selection activeCell="J44" sqref="J44"/>
    </sheetView>
  </sheetViews>
  <sheetFormatPr defaultRowHeight="15" x14ac:dyDescent="0.25"/>
  <cols>
    <col min="2" max="2" width="7.42578125" customWidth="1"/>
    <col min="3" max="3" width="79" customWidth="1"/>
    <col min="4" max="4" width="17" customWidth="1"/>
    <col min="5" max="5" width="11.5703125" customWidth="1"/>
    <col min="6" max="6" width="12" customWidth="1"/>
    <col min="7" max="7" width="10.85546875" customWidth="1"/>
    <col min="8" max="8" width="11.42578125" customWidth="1"/>
    <col min="9" max="9" width="11.85546875" customWidth="1"/>
    <col min="10" max="10" width="13.140625" customWidth="1"/>
    <col min="11" max="11" width="12.42578125" customWidth="1"/>
    <col min="13" max="13" width="13.140625" customWidth="1"/>
    <col min="14" max="14" width="12.7109375" customWidth="1"/>
  </cols>
  <sheetData>
    <row r="2" spans="2:16" ht="26.25" x14ac:dyDescent="0.4">
      <c r="B2" s="107" t="s">
        <v>86</v>
      </c>
      <c r="C2" s="97"/>
      <c r="D2" s="97"/>
      <c r="E2" s="97"/>
      <c r="F2" s="97"/>
      <c r="G2" s="97"/>
      <c r="H2" s="97"/>
      <c r="I2" s="97"/>
      <c r="J2" s="97"/>
      <c r="K2" s="97"/>
      <c r="M2" s="1"/>
    </row>
    <row r="3" spans="2:16" ht="15.75" thickBot="1" x14ac:dyDescent="0.3">
      <c r="B3" s="42"/>
      <c r="C3" s="43"/>
      <c r="D3" s="59"/>
      <c r="E3" s="99" t="s">
        <v>1</v>
      </c>
      <c r="F3" s="100"/>
      <c r="G3" s="100"/>
      <c r="H3" s="100"/>
      <c r="I3" s="100"/>
      <c r="J3" s="100"/>
      <c r="K3" s="100"/>
      <c r="L3" s="4"/>
    </row>
    <row r="4" spans="2:16" x14ac:dyDescent="0.25">
      <c r="B4" s="101" t="s">
        <v>2</v>
      </c>
      <c r="C4" s="117" t="s">
        <v>3</v>
      </c>
      <c r="D4" s="90" t="s">
        <v>4</v>
      </c>
      <c r="E4" s="88">
        <v>45978</v>
      </c>
      <c r="F4" s="6">
        <v>45979</v>
      </c>
      <c r="G4" s="6">
        <v>45980</v>
      </c>
      <c r="H4" s="6">
        <v>45981</v>
      </c>
      <c r="I4" s="6">
        <v>45982</v>
      </c>
      <c r="J4" s="6">
        <v>45983</v>
      </c>
      <c r="K4" s="6">
        <v>45984</v>
      </c>
    </row>
    <row r="5" spans="2:16" ht="15.75" thickBot="1" x14ac:dyDescent="0.3">
      <c r="B5" s="102"/>
      <c r="C5" s="118"/>
      <c r="D5" s="91" t="s">
        <v>5</v>
      </c>
      <c r="E5" s="8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x14ac:dyDescent="0.25">
      <c r="B6" s="85" t="s">
        <v>87</v>
      </c>
      <c r="C6" s="57" t="s">
        <v>100</v>
      </c>
      <c r="D6" s="80">
        <v>1.5</v>
      </c>
      <c r="E6" s="83"/>
      <c r="F6" s="16"/>
      <c r="G6" s="16"/>
      <c r="H6" s="16"/>
      <c r="I6" s="17"/>
      <c r="J6" s="16"/>
      <c r="K6" s="16"/>
      <c r="L6" s="108" t="str">
        <f t="shared" ref="L6:L23" si="0">IF(N6=0, "NOT STARTED",IF(N6&gt;D6, "ERROR TO MUCH WORK", IF(N6=D6, "DONE", "NOT ENOUGH WORK YET")))</f>
        <v>NOT STARTED</v>
      </c>
      <c r="M6" s="109"/>
      <c r="N6" s="44">
        <f t="shared" ref="N6:N23" si="1">SUM(E6:K6)</f>
        <v>0</v>
      </c>
      <c r="O6" s="1" t="s">
        <v>47</v>
      </c>
      <c r="P6" s="44"/>
    </row>
    <row r="7" spans="2:16" x14ac:dyDescent="0.25">
      <c r="B7" s="86" t="s">
        <v>88</v>
      </c>
      <c r="C7" s="57" t="s">
        <v>100</v>
      </c>
      <c r="D7" s="81">
        <v>1.5</v>
      </c>
      <c r="E7" s="84"/>
      <c r="F7" s="22"/>
      <c r="G7" s="22"/>
      <c r="H7" s="22"/>
      <c r="I7" s="23"/>
      <c r="J7" s="22"/>
      <c r="K7" s="22"/>
      <c r="L7" s="108" t="str">
        <f t="shared" si="0"/>
        <v>NOT STARTED</v>
      </c>
      <c r="M7" s="109"/>
      <c r="N7" s="44">
        <f t="shared" si="1"/>
        <v>0</v>
      </c>
      <c r="O7" s="1" t="s">
        <v>41</v>
      </c>
      <c r="P7" s="44"/>
    </row>
    <row r="8" spans="2:16" ht="15.75" thickBot="1" x14ac:dyDescent="0.3">
      <c r="B8" s="86" t="s">
        <v>89</v>
      </c>
      <c r="C8" s="57" t="s">
        <v>101</v>
      </c>
      <c r="D8" s="82">
        <v>1.5</v>
      </c>
      <c r="E8" s="78">
        <v>1</v>
      </c>
      <c r="F8" s="22"/>
      <c r="G8" s="22"/>
      <c r="H8" s="22"/>
      <c r="I8" s="23"/>
      <c r="J8" s="22"/>
      <c r="K8" s="22"/>
      <c r="L8" s="108" t="str">
        <f t="shared" si="0"/>
        <v>NOT ENOUGH WORK YET</v>
      </c>
      <c r="M8" s="109"/>
      <c r="N8" s="44">
        <f t="shared" si="1"/>
        <v>1</v>
      </c>
      <c r="O8" s="1" t="s">
        <v>37</v>
      </c>
      <c r="P8" s="44"/>
    </row>
    <row r="9" spans="2:16" x14ac:dyDescent="0.25">
      <c r="B9" s="86" t="s">
        <v>90</v>
      </c>
      <c r="C9" s="57" t="s">
        <v>101</v>
      </c>
      <c r="D9" s="80">
        <v>1.5</v>
      </c>
      <c r="E9" s="78"/>
      <c r="F9" s="22"/>
      <c r="G9" s="22"/>
      <c r="H9" s="22"/>
      <c r="I9" s="23"/>
      <c r="J9" s="22"/>
      <c r="K9" s="22"/>
      <c r="L9" s="108" t="str">
        <f t="shared" si="0"/>
        <v>NOT STARTED</v>
      </c>
      <c r="M9" s="109"/>
      <c r="N9" s="44">
        <f t="shared" si="1"/>
        <v>0</v>
      </c>
      <c r="O9" s="1" t="s">
        <v>99</v>
      </c>
      <c r="P9" s="44"/>
    </row>
    <row r="10" spans="2:16" x14ac:dyDescent="0.25">
      <c r="B10" s="86" t="s">
        <v>91</v>
      </c>
      <c r="C10" s="57" t="s">
        <v>102</v>
      </c>
      <c r="D10" s="81">
        <v>0.5</v>
      </c>
      <c r="E10" s="78"/>
      <c r="F10" s="22"/>
      <c r="G10" s="22"/>
      <c r="H10" s="22"/>
      <c r="I10" s="23"/>
      <c r="J10" s="22"/>
      <c r="K10" s="22"/>
      <c r="L10" s="108" t="str">
        <f t="shared" si="0"/>
        <v>NOT STARTED</v>
      </c>
      <c r="M10" s="109"/>
      <c r="N10" s="44">
        <f t="shared" si="1"/>
        <v>0</v>
      </c>
      <c r="O10" s="1" t="s">
        <v>47</v>
      </c>
      <c r="P10" s="44"/>
    </row>
    <row r="11" spans="2:16" ht="15.75" thickBot="1" x14ac:dyDescent="0.3">
      <c r="B11" s="86" t="s">
        <v>92</v>
      </c>
      <c r="C11" s="57" t="s">
        <v>102</v>
      </c>
      <c r="D11" s="82">
        <v>0.5</v>
      </c>
      <c r="E11" s="78">
        <v>0.25</v>
      </c>
      <c r="F11" s="22"/>
      <c r="G11" s="22"/>
      <c r="H11" s="22"/>
      <c r="I11" s="23"/>
      <c r="J11" s="22"/>
      <c r="K11" s="22"/>
      <c r="L11" s="108" t="str">
        <f t="shared" si="0"/>
        <v>NOT ENOUGH WORK YET</v>
      </c>
      <c r="M11" s="109"/>
      <c r="N11" s="44">
        <f t="shared" si="1"/>
        <v>0.25</v>
      </c>
      <c r="O11" s="1" t="s">
        <v>41</v>
      </c>
      <c r="P11" s="44"/>
    </row>
    <row r="12" spans="2:16" x14ac:dyDescent="0.25">
      <c r="B12" s="86" t="s">
        <v>93</v>
      </c>
      <c r="C12" s="57" t="s">
        <v>103</v>
      </c>
      <c r="D12" s="80">
        <v>0.5</v>
      </c>
      <c r="E12" s="78"/>
      <c r="F12" s="22"/>
      <c r="G12" s="22"/>
      <c r="H12" s="22"/>
      <c r="I12" s="23"/>
      <c r="J12" s="22"/>
      <c r="K12" s="22"/>
      <c r="L12" s="108" t="str">
        <f t="shared" si="0"/>
        <v>NOT STARTED</v>
      </c>
      <c r="M12" s="109"/>
      <c r="N12" s="44">
        <f t="shared" si="1"/>
        <v>0</v>
      </c>
      <c r="O12" s="1" t="s">
        <v>37</v>
      </c>
      <c r="P12" s="44"/>
    </row>
    <row r="13" spans="2:16" x14ac:dyDescent="0.25">
      <c r="B13" s="86" t="s">
        <v>94</v>
      </c>
      <c r="C13" s="57" t="s">
        <v>103</v>
      </c>
      <c r="D13" s="81">
        <v>0.5</v>
      </c>
      <c r="E13" s="78"/>
      <c r="F13" s="22"/>
      <c r="G13" s="22"/>
      <c r="H13" s="22"/>
      <c r="I13" s="23"/>
      <c r="J13" s="22"/>
      <c r="K13" s="22"/>
      <c r="L13" s="108" t="str">
        <f t="shared" si="0"/>
        <v>NOT STARTED</v>
      </c>
      <c r="M13" s="109"/>
      <c r="N13" s="44">
        <f t="shared" si="1"/>
        <v>0</v>
      </c>
      <c r="O13" s="1" t="s">
        <v>99</v>
      </c>
      <c r="P13" s="44"/>
    </row>
    <row r="14" spans="2:16" ht="15.75" thickBot="1" x14ac:dyDescent="0.3">
      <c r="B14" s="86">
        <v>35</v>
      </c>
      <c r="C14" s="56" t="s">
        <v>104</v>
      </c>
      <c r="D14" s="82">
        <v>3</v>
      </c>
      <c r="E14" s="78">
        <v>0.75</v>
      </c>
      <c r="F14" s="22"/>
      <c r="G14" s="22"/>
      <c r="H14" s="22"/>
      <c r="I14" s="23"/>
      <c r="J14" s="22"/>
      <c r="K14" s="22"/>
      <c r="L14" s="108" t="str">
        <f t="shared" si="0"/>
        <v>NOT ENOUGH WORK YET</v>
      </c>
      <c r="M14" s="109"/>
      <c r="N14" s="44">
        <f t="shared" si="1"/>
        <v>0.75</v>
      </c>
      <c r="O14" s="1" t="s">
        <v>44</v>
      </c>
      <c r="P14" s="44"/>
    </row>
    <row r="15" spans="2:16" x14ac:dyDescent="0.25">
      <c r="B15" s="86">
        <v>36</v>
      </c>
      <c r="C15" s="56" t="s">
        <v>105</v>
      </c>
      <c r="D15" s="80">
        <v>3</v>
      </c>
      <c r="E15" s="78"/>
      <c r="F15" s="22"/>
      <c r="G15" s="22"/>
      <c r="H15" s="22"/>
      <c r="I15" s="23"/>
      <c r="J15" s="22"/>
      <c r="K15" s="22"/>
      <c r="L15" s="108" t="str">
        <f t="shared" si="0"/>
        <v>NOT STARTED</v>
      </c>
      <c r="M15" s="109"/>
      <c r="N15" s="44">
        <f t="shared" si="1"/>
        <v>0</v>
      </c>
      <c r="O15" s="1" t="s">
        <v>39</v>
      </c>
      <c r="P15" s="44"/>
    </row>
    <row r="16" spans="2:16" x14ac:dyDescent="0.25">
      <c r="B16" s="86" t="s">
        <v>95</v>
      </c>
      <c r="C16" s="1" t="s">
        <v>106</v>
      </c>
      <c r="D16" s="81">
        <v>1.5</v>
      </c>
      <c r="E16" s="78"/>
      <c r="F16" s="22"/>
      <c r="G16" s="22"/>
      <c r="H16" s="22"/>
      <c r="I16" s="23"/>
      <c r="J16" s="22"/>
      <c r="K16" s="22"/>
      <c r="L16" s="108" t="str">
        <f t="shared" si="0"/>
        <v>NOT STARTED</v>
      </c>
      <c r="M16" s="109"/>
      <c r="N16" s="44">
        <f t="shared" si="1"/>
        <v>0</v>
      </c>
      <c r="O16" s="1" t="s">
        <v>47</v>
      </c>
      <c r="P16" s="44"/>
    </row>
    <row r="17" spans="2:16" ht="15.75" thickBot="1" x14ac:dyDescent="0.3">
      <c r="B17" s="86" t="s">
        <v>96</v>
      </c>
      <c r="C17" s="1" t="s">
        <v>106</v>
      </c>
      <c r="D17" s="82">
        <v>1.5</v>
      </c>
      <c r="E17" s="78"/>
      <c r="F17" s="22"/>
      <c r="G17" s="22"/>
      <c r="H17" s="22"/>
      <c r="I17" s="23"/>
      <c r="J17" s="22"/>
      <c r="K17" s="22"/>
      <c r="L17" s="108" t="str">
        <f t="shared" si="0"/>
        <v>NOT STARTED</v>
      </c>
      <c r="M17" s="109"/>
      <c r="N17" s="44">
        <f t="shared" si="1"/>
        <v>0</v>
      </c>
      <c r="O17" s="1" t="s">
        <v>41</v>
      </c>
      <c r="P17" s="44"/>
    </row>
    <row r="18" spans="2:16" x14ac:dyDescent="0.25">
      <c r="B18" s="86" t="s">
        <v>97</v>
      </c>
      <c r="C18" s="1" t="s">
        <v>107</v>
      </c>
      <c r="D18" s="80">
        <v>1.5</v>
      </c>
      <c r="E18" s="78"/>
      <c r="F18" s="22"/>
      <c r="G18" s="22"/>
      <c r="H18" s="22"/>
      <c r="I18" s="23"/>
      <c r="J18" s="22"/>
      <c r="K18" s="22"/>
      <c r="L18" s="108" t="str">
        <f t="shared" si="0"/>
        <v>NOT STARTED</v>
      </c>
      <c r="M18" s="109"/>
      <c r="N18" s="44">
        <f t="shared" si="1"/>
        <v>0</v>
      </c>
      <c r="O18" s="1" t="s">
        <v>37</v>
      </c>
      <c r="P18" s="44"/>
    </row>
    <row r="19" spans="2:16" x14ac:dyDescent="0.25">
      <c r="B19" s="86" t="s">
        <v>98</v>
      </c>
      <c r="C19" s="1" t="s">
        <v>107</v>
      </c>
      <c r="D19" s="81">
        <v>1.5</v>
      </c>
      <c r="E19" s="78"/>
      <c r="F19" s="22"/>
      <c r="G19" s="22"/>
      <c r="H19" s="22"/>
      <c r="I19" s="23"/>
      <c r="J19" s="22"/>
      <c r="K19" s="22"/>
      <c r="L19" s="108" t="str">
        <f t="shared" si="0"/>
        <v>NOT STARTED</v>
      </c>
      <c r="M19" s="109"/>
      <c r="N19" s="44">
        <f t="shared" si="1"/>
        <v>0</v>
      </c>
      <c r="O19" s="1" t="s">
        <v>99</v>
      </c>
      <c r="P19" s="44"/>
    </row>
    <row r="20" spans="2:16" ht="15.75" thickBot="1" x14ac:dyDescent="0.3">
      <c r="B20" s="86">
        <v>39</v>
      </c>
      <c r="C20" s="57" t="s">
        <v>108</v>
      </c>
      <c r="D20" s="82">
        <v>3.5</v>
      </c>
      <c r="E20" s="78"/>
      <c r="F20" s="22"/>
      <c r="G20" s="22"/>
      <c r="H20" s="22"/>
      <c r="I20" s="23"/>
      <c r="J20" s="22"/>
      <c r="K20" s="22"/>
      <c r="L20" s="108" t="str">
        <f t="shared" si="0"/>
        <v>NOT STARTED</v>
      </c>
      <c r="M20" s="109"/>
      <c r="N20" s="44">
        <f t="shared" si="1"/>
        <v>0</v>
      </c>
      <c r="O20" s="1" t="s">
        <v>44</v>
      </c>
      <c r="P20" s="44"/>
    </row>
    <row r="21" spans="2:16" x14ac:dyDescent="0.25">
      <c r="B21" s="86">
        <v>40</v>
      </c>
      <c r="C21" s="57" t="s">
        <v>109</v>
      </c>
      <c r="D21" s="80">
        <v>3.5</v>
      </c>
      <c r="E21" s="78"/>
      <c r="F21" s="22"/>
      <c r="G21" s="22"/>
      <c r="H21" s="22"/>
      <c r="I21" s="23"/>
      <c r="J21" s="22"/>
      <c r="K21" s="22"/>
      <c r="L21" s="108" t="str">
        <f t="shared" si="0"/>
        <v>NOT STARTED</v>
      </c>
      <c r="M21" s="109"/>
      <c r="N21" s="44">
        <f t="shared" si="1"/>
        <v>0</v>
      </c>
      <c r="O21" s="1" t="s">
        <v>39</v>
      </c>
      <c r="P21" s="44"/>
    </row>
    <row r="22" spans="2:16" x14ac:dyDescent="0.25">
      <c r="B22" s="86">
        <v>41</v>
      </c>
      <c r="C22" s="57" t="s">
        <v>110</v>
      </c>
      <c r="D22" s="81">
        <v>1</v>
      </c>
      <c r="E22" s="78"/>
      <c r="F22" s="22"/>
      <c r="G22" s="22"/>
      <c r="H22" s="22"/>
      <c r="I22" s="23"/>
      <c r="J22" s="22"/>
      <c r="K22" s="22"/>
      <c r="L22" s="108" t="str">
        <f t="shared" si="0"/>
        <v>NOT STARTED</v>
      </c>
      <c r="M22" s="109"/>
      <c r="N22" s="44">
        <f t="shared" si="1"/>
        <v>0</v>
      </c>
      <c r="O22" s="1" t="s">
        <v>44</v>
      </c>
      <c r="P22" s="44"/>
    </row>
    <row r="23" spans="2:16" ht="15.75" customHeight="1" thickBot="1" x14ac:dyDescent="0.3">
      <c r="B23" s="87">
        <v>42</v>
      </c>
      <c r="C23" s="69" t="s">
        <v>111</v>
      </c>
      <c r="D23" s="82">
        <v>1</v>
      </c>
      <c r="E23" s="79"/>
      <c r="F23" s="70"/>
      <c r="G23" s="70"/>
      <c r="H23" s="70"/>
      <c r="I23" s="71"/>
      <c r="J23" s="70"/>
      <c r="K23" s="70"/>
      <c r="L23" s="108" t="str">
        <f t="shared" si="0"/>
        <v>NOT STARTED</v>
      </c>
      <c r="M23" s="109"/>
      <c r="N23" s="44">
        <f t="shared" si="1"/>
        <v>0</v>
      </c>
      <c r="O23" s="1" t="s">
        <v>39</v>
      </c>
      <c r="P23" s="44"/>
    </row>
    <row r="24" spans="2:16" ht="15.75" thickBot="1" x14ac:dyDescent="0.3">
      <c r="B24" s="112" t="s">
        <v>24</v>
      </c>
      <c r="C24" s="113"/>
      <c r="D24" s="72">
        <v>0</v>
      </c>
      <c r="E24" s="73">
        <f t="shared" ref="E24:K24" ca="1" si="2">SUM(E6:E32)</f>
        <v>0</v>
      </c>
      <c r="F24" s="74">
        <f t="shared" ca="1" si="2"/>
        <v>0</v>
      </c>
      <c r="G24" s="74">
        <f t="shared" ca="1" si="2"/>
        <v>0</v>
      </c>
      <c r="H24" s="74">
        <f t="shared" ca="1" si="2"/>
        <v>0</v>
      </c>
      <c r="I24" s="75">
        <f t="shared" ca="1" si="2"/>
        <v>0</v>
      </c>
      <c r="J24" s="76">
        <f t="shared" ca="1" si="2"/>
        <v>0</v>
      </c>
      <c r="K24" s="77">
        <f t="shared" ca="1" si="2"/>
        <v>0</v>
      </c>
      <c r="L24" s="108"/>
      <c r="M24" s="109"/>
      <c r="N24" s="44"/>
      <c r="O24" s="44"/>
      <c r="P24" s="44"/>
    </row>
    <row r="25" spans="2:16" ht="15.75" thickBot="1" x14ac:dyDescent="0.3">
      <c r="B25" s="114" t="s">
        <v>25</v>
      </c>
      <c r="C25" s="113"/>
      <c r="D25" s="64">
        <f>SUM(D6:D24)</f>
        <v>29</v>
      </c>
      <c r="E25" s="65">
        <f t="shared" ref="E25:K25" ca="1" si="3">D25-SUM(E6:E32)</f>
        <v>0</v>
      </c>
      <c r="F25" s="66">
        <f t="shared" ca="1" si="3"/>
        <v>0</v>
      </c>
      <c r="G25" s="66">
        <f t="shared" ca="1" si="3"/>
        <v>0</v>
      </c>
      <c r="H25" s="66">
        <f t="shared" ca="1" si="3"/>
        <v>0</v>
      </c>
      <c r="I25" s="67">
        <f t="shared" ca="1" si="3"/>
        <v>0</v>
      </c>
      <c r="J25" s="66">
        <f t="shared" ca="1" si="3"/>
        <v>0</v>
      </c>
      <c r="K25" s="68">
        <f t="shared" ca="1" si="3"/>
        <v>0</v>
      </c>
      <c r="L25" s="108"/>
      <c r="M25" s="109"/>
      <c r="N25" s="44"/>
      <c r="O25" s="44"/>
      <c r="P25" s="44"/>
    </row>
    <row r="26" spans="2:16" ht="15.75" thickBot="1" x14ac:dyDescent="0.3">
      <c r="B26" s="115" t="s">
        <v>26</v>
      </c>
      <c r="C26" s="116"/>
      <c r="D26" s="61">
        <f>SUM(D6:D23)</f>
        <v>29</v>
      </c>
      <c r="E26" s="62">
        <f>$D$26-($D$26/7*1)</f>
        <v>24.857142857142858</v>
      </c>
      <c r="F26" s="62">
        <f>$D$26-($D$26/7*2)</f>
        <v>20.714285714285715</v>
      </c>
      <c r="G26" s="62">
        <f>$D$26-($D$26/7*3)</f>
        <v>16.571428571428569</v>
      </c>
      <c r="H26" s="62">
        <f>$D$26-($D$26/7*4)</f>
        <v>12.428571428571427</v>
      </c>
      <c r="I26" s="62">
        <f>$D$26-($D$26/7*5)</f>
        <v>8.2857142857142847</v>
      </c>
      <c r="J26" s="62">
        <f>$D$26-($D$26/7*6)</f>
        <v>4.1428571428571388</v>
      </c>
      <c r="K26" s="63">
        <f>$D$26-($D$26/7*7)</f>
        <v>0</v>
      </c>
      <c r="L26" s="108"/>
      <c r="M26" s="109"/>
      <c r="N26" s="44"/>
      <c r="O26" s="44"/>
      <c r="P26" s="44"/>
    </row>
    <row r="27" spans="2:16" x14ac:dyDescent="0.25">
      <c r="B27" s="58"/>
      <c r="C27" s="55"/>
      <c r="D27" s="59"/>
      <c r="E27" s="59"/>
      <c r="F27" s="59"/>
      <c r="G27" s="59"/>
      <c r="H27" s="59"/>
      <c r="I27" s="59"/>
      <c r="J27" s="59"/>
      <c r="K27" s="59"/>
      <c r="L27" s="108"/>
      <c r="M27" s="109"/>
      <c r="N27" s="44"/>
      <c r="O27" s="44"/>
      <c r="P27" s="44"/>
    </row>
    <row r="28" spans="2:16" x14ac:dyDescent="0.25">
      <c r="B28" s="58"/>
      <c r="C28" s="55"/>
      <c r="D28" s="59"/>
      <c r="E28" s="59"/>
      <c r="F28" s="59"/>
      <c r="G28" s="59"/>
      <c r="H28" s="59"/>
      <c r="I28" s="59"/>
      <c r="J28" s="59"/>
      <c r="K28" s="59"/>
      <c r="L28" s="108"/>
      <c r="M28" s="109"/>
      <c r="N28" s="44"/>
      <c r="O28" s="44"/>
      <c r="P28" s="44"/>
    </row>
    <row r="29" spans="2:16" x14ac:dyDescent="0.25">
      <c r="B29" s="58"/>
      <c r="C29" s="55"/>
      <c r="D29" s="59"/>
      <c r="E29" s="59"/>
      <c r="F29" s="59"/>
      <c r="G29" s="59"/>
      <c r="H29" s="59"/>
      <c r="I29" s="59"/>
      <c r="J29" s="59"/>
      <c r="K29" s="59"/>
      <c r="L29" s="108"/>
      <c r="M29" s="109"/>
      <c r="N29" s="44"/>
      <c r="O29" s="44"/>
      <c r="P29" s="44"/>
    </row>
    <row r="30" spans="2:16" x14ac:dyDescent="0.25">
      <c r="B30" s="58"/>
      <c r="C30" s="55"/>
      <c r="D30" s="59"/>
      <c r="E30" s="59"/>
      <c r="F30" s="59"/>
      <c r="G30" s="59"/>
      <c r="H30" s="59"/>
      <c r="I30" s="59"/>
      <c r="J30" s="59"/>
      <c r="K30" s="59"/>
      <c r="L30" s="108"/>
      <c r="M30" s="109"/>
      <c r="N30" s="44"/>
      <c r="O30" s="44"/>
      <c r="P30" s="44"/>
    </row>
    <row r="31" spans="2:16" x14ac:dyDescent="0.25">
      <c r="B31" s="58"/>
      <c r="C31" s="55"/>
      <c r="D31" s="59"/>
      <c r="E31" s="59"/>
      <c r="F31" s="59"/>
      <c r="G31" s="59"/>
      <c r="H31" s="59"/>
      <c r="I31" s="59"/>
      <c r="J31" s="59"/>
      <c r="K31" s="59"/>
      <c r="L31" s="108"/>
      <c r="M31" s="109"/>
      <c r="N31" s="44"/>
      <c r="O31" s="44"/>
      <c r="P31" s="44"/>
    </row>
    <row r="32" spans="2:16" x14ac:dyDescent="0.25">
      <c r="B32" s="58"/>
      <c r="C32" s="60"/>
      <c r="D32" s="59"/>
      <c r="E32" s="59"/>
      <c r="F32" s="59"/>
      <c r="G32" s="59"/>
      <c r="H32" s="59"/>
      <c r="I32" s="59"/>
      <c r="J32" s="59"/>
      <c r="K32" s="59"/>
      <c r="L32" s="108"/>
      <c r="M32" s="109"/>
      <c r="N32" s="44"/>
      <c r="O32" s="44"/>
      <c r="P32" s="44"/>
    </row>
    <row r="33" spans="2:16" x14ac:dyDescent="0.25">
      <c r="B33" s="58"/>
      <c r="C33" s="60"/>
      <c r="D33" s="59"/>
      <c r="E33" s="59"/>
      <c r="F33" s="59"/>
      <c r="G33" s="59"/>
      <c r="H33" s="59"/>
      <c r="I33" s="59"/>
      <c r="J33" s="59"/>
      <c r="K33" s="59"/>
      <c r="L33" s="108"/>
      <c r="M33" s="109"/>
      <c r="N33" s="44"/>
      <c r="O33" s="44"/>
      <c r="P33" s="44"/>
    </row>
    <row r="34" spans="2:16" x14ac:dyDescent="0.25">
      <c r="B34" s="58"/>
      <c r="C34" s="60"/>
      <c r="D34" s="59"/>
      <c r="E34" s="59"/>
      <c r="F34" s="59"/>
      <c r="G34" s="59"/>
      <c r="H34" s="59"/>
      <c r="I34" s="59"/>
      <c r="J34" s="59"/>
      <c r="K34" s="59"/>
      <c r="L34" s="108"/>
      <c r="M34" s="109"/>
      <c r="N34" s="44"/>
      <c r="O34" s="44"/>
      <c r="P34" s="44"/>
    </row>
    <row r="35" spans="2:16" x14ac:dyDescent="0.25">
      <c r="B35" s="58"/>
      <c r="C35" s="60"/>
      <c r="D35" s="59"/>
      <c r="E35" s="59"/>
      <c r="F35" s="59"/>
      <c r="G35" s="59"/>
      <c r="H35" s="59"/>
      <c r="I35" s="59"/>
      <c r="J35" s="59"/>
      <c r="K35" s="59"/>
      <c r="L35" s="108"/>
      <c r="M35" s="109"/>
      <c r="N35" s="44"/>
      <c r="O35" s="44"/>
      <c r="P35" s="44"/>
    </row>
    <row r="36" spans="2:16" x14ac:dyDescent="0.25">
      <c r="B36" s="58"/>
      <c r="C36" s="60"/>
      <c r="D36" s="59"/>
      <c r="E36" s="59"/>
      <c r="F36" s="59"/>
      <c r="G36" s="59"/>
      <c r="H36" s="59"/>
      <c r="I36" s="59"/>
      <c r="J36" s="59"/>
      <c r="K36" s="59"/>
      <c r="L36" s="108"/>
      <c r="M36" s="109"/>
      <c r="N36" s="44"/>
      <c r="O36" s="44"/>
      <c r="P36" s="44"/>
    </row>
    <row r="37" spans="2:16" x14ac:dyDescent="0.25">
      <c r="B37" s="58"/>
      <c r="C37" s="60"/>
      <c r="D37" s="59"/>
      <c r="E37" s="59"/>
      <c r="F37" s="59"/>
      <c r="G37" s="59"/>
      <c r="H37" s="59"/>
      <c r="I37" s="59"/>
      <c r="J37" s="59"/>
      <c r="K37" s="59"/>
      <c r="L37" s="108"/>
      <c r="M37" s="109"/>
      <c r="N37" s="44"/>
      <c r="O37" s="44"/>
      <c r="P37" s="44"/>
    </row>
  </sheetData>
  <mergeCells count="39">
    <mergeCell ref="L7:M7"/>
    <mergeCell ref="B2:K2"/>
    <mergeCell ref="E3:K3"/>
    <mergeCell ref="B4:B5"/>
    <mergeCell ref="C4:C5"/>
    <mergeCell ref="L6:M6"/>
    <mergeCell ref="L19:M19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20:M20"/>
    <mergeCell ref="L21:M21"/>
    <mergeCell ref="L22:M22"/>
    <mergeCell ref="L23:M23"/>
    <mergeCell ref="L24:M24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B24:C24"/>
    <mergeCell ref="B25:C25"/>
    <mergeCell ref="B26:C26"/>
    <mergeCell ref="L32:M32"/>
    <mergeCell ref="L33:M33"/>
    <mergeCell ref="L25:M25"/>
  </mergeCells>
  <conditionalFormatting sqref="L6:L37">
    <cfRule type="cellIs" dxfId="3" priority="1" operator="equal">
      <formula>"DONE"</formula>
    </cfRule>
  </conditionalFormatting>
  <conditionalFormatting sqref="L6:M37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7</vt:i4>
      </vt:variant>
    </vt:vector>
  </HeadingPairs>
  <TitlesOfParts>
    <vt:vector size="7" baseType="lpstr">
      <vt:lpstr>Burndown Chart Sprint1</vt:lpstr>
      <vt:lpstr>Folha2</vt:lpstr>
      <vt:lpstr>Burndown Chart Sprint2</vt:lpstr>
      <vt:lpstr>Burndown Chart Sprint3</vt:lpstr>
      <vt:lpstr>Burndown Chart Sprint4</vt:lpstr>
      <vt:lpstr>Burndown Chart Sprint5</vt:lpstr>
      <vt:lpstr>Burndown Chart Sprint6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Teodoro da Silva</cp:lastModifiedBy>
  <dcterms:modified xsi:type="dcterms:W3CDTF">2025-11-17T21:32:46Z</dcterms:modified>
</cp:coreProperties>
</file>