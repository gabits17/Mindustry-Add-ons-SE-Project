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2E3E252A-E858-40D5-AE2F-3CA8CA9A718A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D28" i="4" l="1"/>
  <c r="K26" i="4"/>
  <c r="J26" i="4"/>
  <c r="I26" i="4"/>
  <c r="H26" i="4"/>
  <c r="G26" i="4"/>
  <c r="F26" i="4"/>
  <c r="E26" i="4"/>
  <c r="K27" i="4"/>
  <c r="J27" i="4"/>
  <c r="I27" i="4"/>
  <c r="H27" i="4"/>
  <c r="G27" i="4"/>
  <c r="F27" i="4"/>
  <c r="E27" i="4"/>
  <c r="E25" i="6"/>
  <c r="F25" i="6" s="1"/>
  <c r="G25" i="6" s="1"/>
  <c r="H25" i="6" s="1"/>
  <c r="I25" i="6" s="1"/>
  <c r="J25" i="6" s="1"/>
  <c r="K25" i="6" s="1"/>
  <c r="K24" i="6"/>
  <c r="J24" i="6"/>
  <c r="I24" i="6"/>
  <c r="H24" i="6"/>
  <c r="G24" i="6"/>
  <c r="E24" i="6"/>
  <c r="F24" i="6"/>
  <c r="D26" i="6"/>
  <c r="I26" i="6" s="1"/>
  <c r="D25" i="6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<sst xmlns="http://schemas.openxmlformats.org/spreadsheetml/2006/main" count="277" uniqueCount="118">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</sst>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0.45</c:v>
                </c:pt>
                <c:pt idx="6">
                  <c:v>1.2</c:v>
                </c:pt>
                <c:pt idx="7">
                  <c:v>1.75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8.3500000000000014</c:v>
                </c:pt>
                <c:pt idx="6">
                  <c:v>7.1500000000000012</c:v>
                </c:pt>
                <c:pt idx="7">
                  <c:v>5.4000000000000012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8.5714285714285712</c:v>
                </c:pt>
                <c:pt idx="2">
                  <c:v>7.1428571428571423</c:v>
                </c:pt>
                <c:pt idx="3">
                  <c:v>5.7142857142857144</c:v>
                </c:pt>
                <c:pt idx="4">
                  <c:v>4.2857142857142856</c:v>
                </c:pt>
                <c:pt idx="5">
                  <c:v>2.8571428571428568</c:v>
                </c:pt>
                <c:pt idx="6">
                  <c:v>1.4285714285714288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22.285714285714285</c:v>
                </c:pt>
                <c:pt idx="2">
                  <c:v>18.571428571428569</c:v>
                </c:pt>
                <c:pt idx="3">
                  <c:v>14.857142857142858</c:v>
                </c:pt>
                <c:pt idx="4">
                  <c:v>11.142857142857142</c:v>
                </c:pt>
                <c:pt idx="5">
                  <c:v>7.428571428571427</c:v>
                </c:pt>
                <c:pt idx="6">
                  <c:v>3.7142857142857153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25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25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25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25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25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9" workbookViewId="0">
      <selection activeCell="C18" sqref="C1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25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25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0" t="s">
        <v>24</v>
      </c>
      <c r="C26" s="101"/>
      <c r="D26" s="26">
        <v>0</v>
      </c>
      <c r="E26" s="27">
        <f>SUM(E6:E25)</f>
        <v>0.25</v>
      </c>
      <c r="F26" s="28">
        <f>SUM(F6:F25)</f>
        <v>0.5</v>
      </c>
      <c r="G26" s="28">
        <f>SUM(G6:G25)</f>
        <v>0</v>
      </c>
      <c r="H26" s="28">
        <f>SUM(H6:H25)</f>
        <v>0.45</v>
      </c>
      <c r="I26" s="29">
        <f>SUM(I6:I25)</f>
        <v>0.45</v>
      </c>
      <c r="J26" s="30">
        <f>SUM(J6:J25)</f>
        <v>1.2</v>
      </c>
      <c r="K26" s="28">
        <f>SUM(K6:K25)</f>
        <v>1.75</v>
      </c>
    </row>
    <row r="27" spans="2:16" ht="14.25" customHeight="1" x14ac:dyDescent="0.25">
      <c r="B27" s="87" t="s">
        <v>25</v>
      </c>
      <c r="C27" s="88"/>
      <c r="D27" s="32">
        <f>SUM(D6:D26)</f>
        <v>10</v>
      </c>
      <c r="E27" s="33">
        <f>D27-SUM(E6:E25)</f>
        <v>9.75</v>
      </c>
      <c r="F27" s="34">
        <f>E27-SUM(F6:F25)</f>
        <v>9.25</v>
      </c>
      <c r="G27" s="34">
        <f>F27-SUM(G6:G25)</f>
        <v>9.25</v>
      </c>
      <c r="H27" s="34">
        <f>G27-SUM(H6:H25)</f>
        <v>8.8000000000000007</v>
      </c>
      <c r="I27" s="35">
        <f>H27-SUM(I6:I25)</f>
        <v>8.3500000000000014</v>
      </c>
      <c r="J27" s="36">
        <f>I27-SUM(J6:J25)</f>
        <v>7.1500000000000012</v>
      </c>
      <c r="K27" s="36">
        <f>J27-SUM(K6:K25)</f>
        <v>5.4000000000000012</v>
      </c>
    </row>
    <row r="28" spans="2:16" ht="14.25" customHeight="1" x14ac:dyDescent="0.25">
      <c r="B28" s="89" t="s">
        <v>76</v>
      </c>
      <c r="C28" s="90"/>
      <c r="D28" s="39">
        <f>D27</f>
        <v>10</v>
      </c>
      <c r="E28" s="40">
        <f>$D$28-($D$28/7*1)</f>
        <v>8.5714285714285712</v>
      </c>
      <c r="F28" s="40">
        <f>$D$28-($D$28/7*2)</f>
        <v>7.1428571428571423</v>
      </c>
      <c r="G28" s="40">
        <f>$D$28-($D$28/7*3)</f>
        <v>5.7142857142857144</v>
      </c>
      <c r="H28" s="40">
        <f>$D$28-($D$28/7*4)</f>
        <v>4.2857142857142856</v>
      </c>
      <c r="I28" s="41">
        <f>$D$28-($D$28/7*5)</f>
        <v>2.8571428571428568</v>
      </c>
      <c r="J28" s="41">
        <f>$D$28-($D$28/7*6)</f>
        <v>1.4285714285714288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D15" sqref="D1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25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2:K2"/>
    <mergeCell ref="E3:K3"/>
    <mergeCell ref="B4:B5"/>
    <mergeCell ref="C4:C5"/>
    <mergeCell ref="L6:M6"/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topLeftCell="A21" zoomScale="108" zoomScaleNormal="130" workbookViewId="0">
      <selection activeCell="M42" sqref="M42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.75" thickBot="1" x14ac:dyDescent="0.3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.75" thickBot="1" x14ac:dyDescent="0.3">
      <c r="B4" s="96" t="s">
        <v>2</v>
      </c>
      <c r="C4" s="107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.75" thickBot="1" x14ac:dyDescent="0.3">
      <c r="B5" s="97"/>
      <c r="C5" s="108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25">
      <c r="B6" s="72" t="s">
        <v>87</v>
      </c>
      <c r="C6" s="57" t="s">
        <v>100</v>
      </c>
      <c r="D6" s="84">
        <v>2</v>
      </c>
      <c r="E6" s="77"/>
      <c r="F6" s="49">
        <v>0.5</v>
      </c>
      <c r="G6" s="51">
        <v>0.5</v>
      </c>
      <c r="H6" s="51">
        <v>0.5</v>
      </c>
      <c r="I6" s="80">
        <v>0.25</v>
      </c>
      <c r="J6" s="51">
        <v>0.25</v>
      </c>
      <c r="K6" s="51"/>
      <c r="L6" s="103" t="str">
        <f t="shared" ref="L6:L23" si="0">IF(N6=0, "NOT STARTED",IF(N6&gt;D6, "ERROR TO MUCH WORK", IF(N6=D6, "DONE", "NOT ENOUGH WORK YET")))</f>
        <v>DONE</v>
      </c>
      <c r="M6" s="104"/>
      <c r="N6" s="44">
        <f t="shared" ref="N6:N23" si="1">SUM(E6:K6)</f>
        <v>2</v>
      </c>
      <c r="O6" s="1" t="s">
        <v>47</v>
      </c>
      <c r="P6" s="44"/>
    </row>
    <row r="7" spans="2:16" x14ac:dyDescent="0.25">
      <c r="B7" s="73" t="s">
        <v>88</v>
      </c>
      <c r="C7" s="57" t="s">
        <v>100</v>
      </c>
      <c r="D7" s="85">
        <v>2</v>
      </c>
      <c r="E7" s="49">
        <v>0.5</v>
      </c>
      <c r="F7" s="22"/>
      <c r="G7" s="22">
        <v>0.5</v>
      </c>
      <c r="H7" s="22">
        <v>0.5</v>
      </c>
      <c r="I7" s="23"/>
      <c r="J7" s="22">
        <v>0.5</v>
      </c>
      <c r="K7" s="22"/>
      <c r="L7" s="103" t="str">
        <f t="shared" si="0"/>
        <v>DONE</v>
      </c>
      <c r="M7" s="104"/>
      <c r="N7" s="44">
        <f>SUM(E7:K7)</f>
        <v>2</v>
      </c>
      <c r="O7" s="1" t="s">
        <v>41</v>
      </c>
      <c r="P7" s="44"/>
    </row>
    <row r="8" spans="2:16" x14ac:dyDescent="0.25">
      <c r="B8" s="73" t="s">
        <v>89</v>
      </c>
      <c r="C8" s="57" t="s">
        <v>101</v>
      </c>
      <c r="D8" s="85">
        <v>2</v>
      </c>
      <c r="E8" s="70">
        <v>0.5</v>
      </c>
      <c r="F8" s="22">
        <v>0.5</v>
      </c>
      <c r="G8" s="22">
        <v>0.5</v>
      </c>
      <c r="H8" s="22">
        <v>0.5</v>
      </c>
      <c r="I8" s="23"/>
      <c r="J8" s="22"/>
      <c r="K8" s="22"/>
      <c r="L8" s="103" t="str">
        <f t="shared" si="0"/>
        <v>DONE</v>
      </c>
      <c r="M8" s="104"/>
      <c r="N8" s="44">
        <f t="shared" si="1"/>
        <v>2</v>
      </c>
      <c r="O8" s="1" t="s">
        <v>37</v>
      </c>
      <c r="P8" s="44"/>
    </row>
    <row r="9" spans="2:16" x14ac:dyDescent="0.25">
      <c r="B9" s="73" t="s">
        <v>90</v>
      </c>
      <c r="C9" s="57" t="s">
        <v>101</v>
      </c>
      <c r="D9" s="85">
        <v>2</v>
      </c>
      <c r="E9" s="70">
        <v>0.5</v>
      </c>
      <c r="F9" s="22">
        <v>0.5</v>
      </c>
      <c r="G9" s="22">
        <v>0.5</v>
      </c>
      <c r="H9" s="22">
        <v>0.5</v>
      </c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1" t="s">
        <v>99</v>
      </c>
      <c r="P9" s="44"/>
    </row>
    <row r="10" spans="2:16" x14ac:dyDescent="0.25">
      <c r="B10" s="73" t="s">
        <v>91</v>
      </c>
      <c r="C10" s="57" t="s">
        <v>102</v>
      </c>
      <c r="D10" s="85">
        <v>0.5</v>
      </c>
      <c r="E10" s="70"/>
      <c r="F10" s="22"/>
      <c r="G10" s="22">
        <v>0.25</v>
      </c>
      <c r="H10" s="22">
        <v>0.25</v>
      </c>
      <c r="I10" s="23"/>
      <c r="J10" s="22"/>
      <c r="K10" s="22"/>
      <c r="L10" s="103" t="str">
        <f t="shared" si="0"/>
        <v>DONE</v>
      </c>
      <c r="M10" s="104"/>
      <c r="N10" s="44">
        <f t="shared" si="1"/>
        <v>0.5</v>
      </c>
      <c r="O10" s="1" t="s">
        <v>47</v>
      </c>
      <c r="P10" s="44"/>
    </row>
    <row r="11" spans="2:16" x14ac:dyDescent="0.25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>
        <v>0.25</v>
      </c>
      <c r="I11" s="23"/>
      <c r="J11" s="22"/>
      <c r="K11" s="22"/>
      <c r="L11" s="103" t="str">
        <f t="shared" si="0"/>
        <v>DONE</v>
      </c>
      <c r="M11" s="104"/>
      <c r="N11" s="44">
        <f t="shared" si="1"/>
        <v>0.5</v>
      </c>
      <c r="O11" s="1" t="s">
        <v>41</v>
      </c>
      <c r="P11" s="44"/>
    </row>
    <row r="12" spans="2:16" x14ac:dyDescent="0.25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>
        <v>0.25</v>
      </c>
      <c r="I12" s="23"/>
      <c r="J12" s="22"/>
      <c r="K12" s="22">
        <v>0.25</v>
      </c>
      <c r="L12" s="103" t="str">
        <f t="shared" si="0"/>
        <v>DONE</v>
      </c>
      <c r="M12" s="104"/>
      <c r="N12" s="44">
        <f t="shared" si="1"/>
        <v>0.5</v>
      </c>
      <c r="O12" s="1" t="s">
        <v>37</v>
      </c>
      <c r="P12" s="44"/>
    </row>
    <row r="13" spans="2:16" x14ac:dyDescent="0.25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>
        <v>0.25</v>
      </c>
      <c r="I13" s="23"/>
      <c r="J13" s="22"/>
      <c r="K13" s="22">
        <v>0.25</v>
      </c>
      <c r="L13" s="103" t="str">
        <f t="shared" si="0"/>
        <v>DONE</v>
      </c>
      <c r="M13" s="104"/>
      <c r="N13" s="44">
        <f t="shared" si="1"/>
        <v>0.5</v>
      </c>
      <c r="O13" s="1" t="s">
        <v>99</v>
      </c>
      <c r="P13" s="44"/>
    </row>
    <row r="14" spans="2:16" x14ac:dyDescent="0.25">
      <c r="B14" s="73">
        <v>35</v>
      </c>
      <c r="C14" s="56" t="s">
        <v>104</v>
      </c>
      <c r="D14" s="85">
        <v>1</v>
      </c>
      <c r="E14" s="70">
        <v>0.25</v>
      </c>
      <c r="F14" s="22">
        <v>0.75</v>
      </c>
      <c r="G14" s="22"/>
      <c r="H14" s="22"/>
      <c r="I14" s="23"/>
      <c r="J14" s="22"/>
      <c r="K14" s="22"/>
      <c r="L14" s="103" t="str">
        <f t="shared" si="0"/>
        <v>DONE</v>
      </c>
      <c r="M14" s="104"/>
      <c r="N14" s="44">
        <f t="shared" si="1"/>
        <v>1</v>
      </c>
      <c r="O14" s="1" t="s">
        <v>44</v>
      </c>
      <c r="P14" s="1"/>
    </row>
    <row r="15" spans="2:16" x14ac:dyDescent="0.25">
      <c r="B15" s="73">
        <v>36</v>
      </c>
      <c r="C15" s="56" t="s">
        <v>105</v>
      </c>
      <c r="D15" s="85">
        <v>1</v>
      </c>
      <c r="E15" s="70"/>
      <c r="F15" s="22"/>
      <c r="G15" s="22">
        <v>0.5</v>
      </c>
      <c r="H15" s="22">
        <v>0.5</v>
      </c>
      <c r="I15" s="23"/>
      <c r="J15" s="22"/>
      <c r="K15" s="22"/>
      <c r="L15" s="103" t="str">
        <f t="shared" si="0"/>
        <v>DONE</v>
      </c>
      <c r="M15" s="104"/>
      <c r="N15" s="44">
        <f t="shared" si="1"/>
        <v>1</v>
      </c>
      <c r="O15" s="1" t="s">
        <v>39</v>
      </c>
      <c r="P15" s="44"/>
    </row>
    <row r="16" spans="2:16" x14ac:dyDescent="0.25">
      <c r="B16" s="73" t="s">
        <v>95</v>
      </c>
      <c r="C16" s="1" t="s">
        <v>106</v>
      </c>
      <c r="D16" s="85">
        <v>1</v>
      </c>
      <c r="E16" s="70"/>
      <c r="F16" s="22"/>
      <c r="G16" s="22"/>
      <c r="H16" s="22"/>
      <c r="I16" s="23"/>
      <c r="J16" s="22">
        <v>0.5</v>
      </c>
      <c r="K16" s="22">
        <v>0.5</v>
      </c>
      <c r="L16" s="103" t="str">
        <f t="shared" si="0"/>
        <v>DONE</v>
      </c>
      <c r="M16" s="104"/>
      <c r="N16" s="44">
        <f t="shared" si="1"/>
        <v>1</v>
      </c>
      <c r="O16" s="1" t="s">
        <v>47</v>
      </c>
      <c r="P16" s="44"/>
    </row>
    <row r="17" spans="2:16" x14ac:dyDescent="0.25">
      <c r="B17" s="73" t="s">
        <v>96</v>
      </c>
      <c r="C17" s="1" t="s">
        <v>106</v>
      </c>
      <c r="D17" s="85">
        <v>1</v>
      </c>
      <c r="E17" s="70"/>
      <c r="F17" s="22"/>
      <c r="G17" s="22"/>
      <c r="H17" s="22"/>
      <c r="I17" s="23">
        <v>0.75</v>
      </c>
      <c r="J17" s="22"/>
      <c r="K17" s="22">
        <v>0.25</v>
      </c>
      <c r="L17" s="103" t="str">
        <f t="shared" si="0"/>
        <v>DONE</v>
      </c>
      <c r="M17" s="104"/>
      <c r="N17" s="44">
        <f t="shared" si="1"/>
        <v>1</v>
      </c>
      <c r="O17" s="1" t="s">
        <v>41</v>
      </c>
      <c r="P17" s="44"/>
    </row>
    <row r="18" spans="2:16" x14ac:dyDescent="0.25">
      <c r="B18" s="73" t="s">
        <v>97</v>
      </c>
      <c r="C18" s="1" t="s">
        <v>107</v>
      </c>
      <c r="D18" s="85">
        <v>1</v>
      </c>
      <c r="E18" s="70"/>
      <c r="F18" s="22"/>
      <c r="G18" s="22"/>
      <c r="H18" s="22"/>
      <c r="I18" s="23"/>
      <c r="J18" s="22"/>
      <c r="K18" s="22">
        <v>1</v>
      </c>
      <c r="L18" s="103" t="str">
        <f t="shared" si="0"/>
        <v>DONE</v>
      </c>
      <c r="M18" s="104"/>
      <c r="N18" s="44">
        <f t="shared" si="1"/>
        <v>1</v>
      </c>
      <c r="O18" s="1" t="s">
        <v>37</v>
      </c>
      <c r="P18" s="44"/>
    </row>
    <row r="19" spans="2:16" x14ac:dyDescent="0.25">
      <c r="B19" s="73" t="s">
        <v>98</v>
      </c>
      <c r="C19" s="1" t="s">
        <v>107</v>
      </c>
      <c r="D19" s="85">
        <v>1</v>
      </c>
      <c r="E19" s="70"/>
      <c r="F19" s="22"/>
      <c r="G19" s="22"/>
      <c r="H19" s="22"/>
      <c r="I19" s="23"/>
      <c r="J19" s="22"/>
      <c r="K19" s="22">
        <v>1</v>
      </c>
      <c r="L19" s="103" t="str">
        <f t="shared" si="0"/>
        <v>DONE</v>
      </c>
      <c r="M19" s="104"/>
      <c r="N19" s="44">
        <f t="shared" si="1"/>
        <v>1</v>
      </c>
      <c r="O19" s="1" t="s">
        <v>99</v>
      </c>
      <c r="P19" s="44"/>
    </row>
    <row r="20" spans="2:16" x14ac:dyDescent="0.25">
      <c r="B20" s="73">
        <v>39</v>
      </c>
      <c r="C20" s="57" t="s">
        <v>108</v>
      </c>
      <c r="D20" s="85">
        <v>3</v>
      </c>
      <c r="E20" s="70"/>
      <c r="F20" s="22"/>
      <c r="G20" s="22"/>
      <c r="H20" s="22"/>
      <c r="I20" s="23">
        <v>1</v>
      </c>
      <c r="J20" s="22">
        <v>1</v>
      </c>
      <c r="K20" s="22">
        <v>1</v>
      </c>
      <c r="L20" s="103" t="str">
        <f t="shared" si="0"/>
        <v>DONE</v>
      </c>
      <c r="M20" s="104"/>
      <c r="N20" s="44">
        <f t="shared" si="1"/>
        <v>3</v>
      </c>
      <c r="O20" s="1" t="s">
        <v>44</v>
      </c>
      <c r="P20" s="44"/>
    </row>
    <row r="21" spans="2:16" x14ac:dyDescent="0.25">
      <c r="B21" s="73">
        <v>40</v>
      </c>
      <c r="C21" s="57" t="s">
        <v>109</v>
      </c>
      <c r="D21" s="85">
        <v>3</v>
      </c>
      <c r="E21" s="70"/>
      <c r="F21" s="22"/>
      <c r="G21" s="22"/>
      <c r="H21" s="22"/>
      <c r="I21" s="23"/>
      <c r="J21" s="22">
        <v>2.5</v>
      </c>
      <c r="K21" s="22">
        <v>0.5</v>
      </c>
      <c r="L21" s="103" t="str">
        <f t="shared" si="0"/>
        <v>DONE</v>
      </c>
      <c r="M21" s="104"/>
      <c r="N21" s="44">
        <f t="shared" si="1"/>
        <v>3</v>
      </c>
      <c r="O21" s="1" t="s">
        <v>39</v>
      </c>
      <c r="P21" s="44"/>
    </row>
    <row r="22" spans="2:16" x14ac:dyDescent="0.25">
      <c r="B22" s="73">
        <v>41</v>
      </c>
      <c r="C22" s="57" t="s">
        <v>110</v>
      </c>
      <c r="D22" s="85">
        <v>2</v>
      </c>
      <c r="E22" s="70">
        <v>0.5</v>
      </c>
      <c r="F22" s="22">
        <v>0.5</v>
      </c>
      <c r="G22" s="22">
        <v>1</v>
      </c>
      <c r="H22" s="22"/>
      <c r="I22" s="23"/>
      <c r="J22" s="22"/>
      <c r="K22" s="22"/>
      <c r="L22" s="103" t="str">
        <f t="shared" si="0"/>
        <v>DONE</v>
      </c>
      <c r="M22" s="104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>
        <v>1</v>
      </c>
      <c r="H23" s="67"/>
      <c r="I23" s="68"/>
      <c r="J23" s="67"/>
      <c r="K23" s="67"/>
      <c r="L23" s="103" t="str">
        <f t="shared" si="0"/>
        <v>DONE</v>
      </c>
      <c r="M23" s="104"/>
      <c r="N23" s="44">
        <f t="shared" si="1"/>
        <v>2</v>
      </c>
      <c r="O23" s="1" t="s">
        <v>39</v>
      </c>
      <c r="P23" s="44"/>
    </row>
    <row r="24" spans="2:16" ht="15.75" thickBot="1" x14ac:dyDescent="0.3">
      <c r="B24" s="109" t="s">
        <v>24</v>
      </c>
      <c r="C24" s="110"/>
      <c r="D24" s="83">
        <v>0</v>
      </c>
      <c r="E24" s="69">
        <f>SUM(E6:E23)</f>
        <v>3</v>
      </c>
      <c r="F24" s="69">
        <f>SUM(F6:F23)</f>
        <v>3.25</v>
      </c>
      <c r="G24" s="69">
        <f>SUM(G6:G23)</f>
        <v>4.75</v>
      </c>
      <c r="H24" s="69">
        <f>SUM(H6:H23)</f>
        <v>3.5</v>
      </c>
      <c r="I24" s="69">
        <f>SUM(I6:I23)</f>
        <v>2</v>
      </c>
      <c r="J24" s="69">
        <f>SUM(J6:J23)</f>
        <v>4.75</v>
      </c>
      <c r="K24" s="69">
        <f>SUM(K6:K23)</f>
        <v>4.75</v>
      </c>
      <c r="L24" s="103"/>
      <c r="M24" s="104"/>
      <c r="N24" s="44"/>
      <c r="O24" s="44"/>
      <c r="P24" s="44"/>
    </row>
    <row r="25" spans="2:16" ht="15.75" thickBot="1" x14ac:dyDescent="0.3">
      <c r="B25" s="111" t="s">
        <v>25</v>
      </c>
      <c r="C25" s="110"/>
      <c r="D25" s="64">
        <f>SUM(D6:D24)</f>
        <v>26</v>
      </c>
      <c r="E25" s="65">
        <f>D25-SUM(E6:E23)</f>
        <v>23</v>
      </c>
      <c r="F25" s="65">
        <f>E25-SUM(F6:F23)</f>
        <v>19.75</v>
      </c>
      <c r="G25" s="65">
        <f>F25-SUM(G6:G23)</f>
        <v>15</v>
      </c>
      <c r="H25" s="65">
        <f>G25-SUM(H6:H23)</f>
        <v>11.5</v>
      </c>
      <c r="I25" s="65">
        <f>H25-SUM(I6:I23)</f>
        <v>9.5</v>
      </c>
      <c r="J25" s="65">
        <f>I25-SUM(J6:J23)</f>
        <v>4.75</v>
      </c>
      <c r="K25" s="65">
        <f>J25-SUM(K6:K23)</f>
        <v>0</v>
      </c>
      <c r="L25" s="103"/>
      <c r="M25" s="104"/>
      <c r="N25" s="44"/>
      <c r="O25" s="44"/>
      <c r="P25" s="44"/>
    </row>
    <row r="26" spans="2:16" ht="15.75" thickBot="1" x14ac:dyDescent="0.3">
      <c r="B26" s="112" t="s">
        <v>26</v>
      </c>
      <c r="C26" s="113"/>
      <c r="D26" s="61">
        <f>SUM(D6:D23)</f>
        <v>26</v>
      </c>
      <c r="E26" s="62">
        <f>$D$26-($D$26/7*1)</f>
        <v>22.285714285714285</v>
      </c>
      <c r="F26" s="62">
        <f>$D$26-($D$26/7*2)</f>
        <v>18.571428571428569</v>
      </c>
      <c r="G26" s="62">
        <f>$D$26-($D$26/7*3)</f>
        <v>14.857142857142858</v>
      </c>
      <c r="H26" s="62">
        <f>$D$26-($D$26/7*4)</f>
        <v>11.142857142857142</v>
      </c>
      <c r="I26" s="62">
        <f>$D$26-($D$26/7*5)</f>
        <v>7.428571428571427</v>
      </c>
      <c r="J26" s="62">
        <f>$D$26-($D$26/7*6)</f>
        <v>3.7142857142857153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B24:C24"/>
    <mergeCell ref="B25:C25"/>
    <mergeCell ref="B26:C26"/>
    <mergeCell ref="L32:M32"/>
    <mergeCell ref="L33:M33"/>
    <mergeCell ref="L25:M25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L20:M20"/>
    <mergeCell ref="L21:M21"/>
    <mergeCell ref="L22:M22"/>
    <mergeCell ref="L23:M23"/>
    <mergeCell ref="L24:M24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7:M7"/>
    <mergeCell ref="B2:K2"/>
    <mergeCell ref="E3:K3"/>
    <mergeCell ref="B4:B5"/>
    <mergeCell ref="C4:C5"/>
    <mergeCell ref="L6:M6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2025-11-24T00:26:56Z</dcterms:modified>
</cp:coreProperties>
</file>