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fct-unl\INFORMATICA\5th_sem\courses\ES\project\SE2526_67775_67804_67286_68130_68547_67763\SE202526\Management\Sprint6\burndown\"/>
    </mc:Choice>
  </mc:AlternateContent>
  <xr:revisionPtr revIDLastSave="0" documentId="13_ncr:1_{194358CC-DC2D-421B-BEDA-4C230A2938A6}" xr6:coauthVersionLast="47" xr6:coauthVersionMax="47" xr10:uidLastSave="{00000000-0000-0000-0000-000000000000}"/>
  <bookViews>
    <workbookView xWindow="22932" yWindow="-72" windowWidth="23256" windowHeight="12456" firstSheet="2" activeTab="3" xr2:uid="{00000000-000D-0000-FFFF-FFFF00000000}"/>
  </bookViews>
  <sheets>
    <sheet name="Burndown Chart Sprint1" sheetId="1" r:id="rId1"/>
    <sheet name="Burndown Chart Sprint2" sheetId="2" r:id="rId2"/>
    <sheet name="Burndown Chart Sprint3" sheetId="3" r:id="rId3"/>
    <sheet name="Burndown Chart Sprint4" sheetId="4" r:id="rId4"/>
    <sheet name="Burndown Chart Sprint5" sheetId="5" r:id="rId5"/>
    <sheet name="Burndown Chart Sprint6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TJwokC8WtZ8q3lTbP4pDtWS6JBud0zTpkznRah3M/MI="/>
    </ext>
  </extLst>
</workbook>
</file>

<file path=xl/calcChain.xml><?xml version="1.0" encoding="utf-8"?>
<calcChain xmlns="http://schemas.openxmlformats.org/spreadsheetml/2006/main">
  <c r="E25" i="6" l="1"/>
  <c r="F25" i="6" s="1"/>
  <c r="G25" i="6" s="1"/>
  <c r="H25" i="6" s="1"/>
  <c r="I25" i="6" s="1"/>
  <c r="J25" i="6" s="1"/>
  <c r="K25" i="6" s="1"/>
  <c r="K24" i="6"/>
  <c r="J24" i="6"/>
  <c r="I24" i="6"/>
  <c r="H24" i="6"/>
  <c r="G24" i="6"/>
  <c r="E24" i="6"/>
  <c r="F24" i="6"/>
  <c r="D26" i="6"/>
  <c r="I26" i="6" s="1"/>
  <c r="D25" i="6"/>
  <c r="N23" i="6"/>
  <c r="L23" i="6" s="1"/>
  <c r="N22" i="6"/>
  <c r="L22" i="6" s="1"/>
  <c r="N21" i="6"/>
  <c r="L21" i="6" s="1"/>
  <c r="N20" i="6"/>
  <c r="L20" i="6" s="1"/>
  <c r="N19" i="6"/>
  <c r="L19" i="6" s="1"/>
  <c r="N18" i="6"/>
  <c r="L18" i="6" s="1"/>
  <c r="N17" i="6"/>
  <c r="L17" i="6" s="1"/>
  <c r="N16" i="6"/>
  <c r="L16" i="6" s="1"/>
  <c r="N15" i="6"/>
  <c r="L15" i="6" s="1"/>
  <c r="N14" i="6"/>
  <c r="L14" i="6" s="1"/>
  <c r="N13" i="6"/>
  <c r="L13" i="6" s="1"/>
  <c r="N12" i="6"/>
  <c r="L12" i="6" s="1"/>
  <c r="N11" i="6"/>
  <c r="L11" i="6" s="1"/>
  <c r="N10" i="6"/>
  <c r="L10" i="6" s="1"/>
  <c r="N9" i="6"/>
  <c r="L9" i="6" s="1"/>
  <c r="N8" i="6"/>
  <c r="L8" i="6" s="1"/>
  <c r="N7" i="6"/>
  <c r="L7" i="6" s="1"/>
  <c r="N6" i="6"/>
  <c r="L6" i="6" s="1"/>
  <c r="N12" i="5"/>
  <c r="L12" i="5" s="1"/>
  <c r="N13" i="5"/>
  <c r="L13" i="5" s="1"/>
  <c r="E16" i="5"/>
  <c r="E14" i="5"/>
  <c r="D15" i="5"/>
  <c r="E15" i="5" s="1"/>
  <c r="F15" i="5" s="1"/>
  <c r="G15" i="5" s="1"/>
  <c r="H15" i="5" s="1"/>
  <c r="I15" i="5" s="1"/>
  <c r="J15" i="5" s="1"/>
  <c r="K15" i="5" s="1"/>
  <c r="N11" i="5"/>
  <c r="L11" i="5" s="1"/>
  <c r="K16" i="5"/>
  <c r="J16" i="5"/>
  <c r="I16" i="5"/>
  <c r="H16" i="5"/>
  <c r="G16" i="5"/>
  <c r="F16" i="5"/>
  <c r="K14" i="5"/>
  <c r="J14" i="5"/>
  <c r="I14" i="5"/>
  <c r="H14" i="5"/>
  <c r="G14" i="5"/>
  <c r="F14" i="5"/>
  <c r="N10" i="5"/>
  <c r="L10" i="5" s="1"/>
  <c r="N9" i="5"/>
  <c r="L9" i="5" s="1"/>
  <c r="N8" i="5"/>
  <c r="L8" i="5" s="1"/>
  <c r="N7" i="5"/>
  <c r="L7" i="5" s="1"/>
  <c r="N6" i="5"/>
  <c r="L6" i="5" s="1"/>
  <c r="K40" i="3"/>
  <c r="J40" i="3"/>
  <c r="I40" i="3"/>
  <c r="H40" i="3"/>
  <c r="G40" i="3"/>
  <c r="F40" i="3"/>
  <c r="E40" i="3"/>
  <c r="D39" i="3"/>
  <c r="E39" i="3" s="1"/>
  <c r="F39" i="3" s="1"/>
  <c r="G39" i="3" s="1"/>
  <c r="H39" i="3" s="1"/>
  <c r="I39" i="3" s="1"/>
  <c r="J39" i="3" s="1"/>
  <c r="K39" i="3" s="1"/>
  <c r="K38" i="3"/>
  <c r="J38" i="3"/>
  <c r="I38" i="3"/>
  <c r="H38" i="3"/>
  <c r="G38" i="3"/>
  <c r="F38" i="3"/>
  <c r="E38" i="3"/>
  <c r="N37" i="3"/>
  <c r="L37" i="3"/>
  <c r="N36" i="3"/>
  <c r="L36" i="3" s="1"/>
  <c r="N35" i="3"/>
  <c r="L35" i="3" s="1"/>
  <c r="N34" i="3"/>
  <c r="L34" i="3" s="1"/>
  <c r="N33" i="3"/>
  <c r="L33" i="3"/>
  <c r="N32" i="3"/>
  <c r="L32" i="3" s="1"/>
  <c r="N31" i="3"/>
  <c r="L31" i="3"/>
  <c r="N30" i="3"/>
  <c r="L30" i="3" s="1"/>
  <c r="N29" i="3"/>
  <c r="L29" i="3"/>
  <c r="N28" i="3"/>
  <c r="L28" i="3" s="1"/>
  <c r="N27" i="3"/>
  <c r="L27" i="3"/>
  <c r="N26" i="3"/>
  <c r="L26" i="3" s="1"/>
  <c r="N25" i="3"/>
  <c r="L25" i="3"/>
  <c r="N24" i="3"/>
  <c r="L24" i="3" s="1"/>
  <c r="N23" i="3"/>
  <c r="L23" i="3" s="1"/>
  <c r="N22" i="3"/>
  <c r="L22" i="3" s="1"/>
  <c r="N21" i="3"/>
  <c r="L21" i="3"/>
  <c r="N20" i="3"/>
  <c r="L20" i="3" s="1"/>
  <c r="N19" i="3"/>
  <c r="L19" i="3" s="1"/>
  <c r="N18" i="3"/>
  <c r="L18" i="3" s="1"/>
  <c r="N17" i="3"/>
  <c r="L17" i="3"/>
  <c r="N16" i="3"/>
  <c r="L16" i="3" s="1"/>
  <c r="N15" i="3"/>
  <c r="L15" i="3"/>
  <c r="N14" i="3"/>
  <c r="L14" i="3" s="1"/>
  <c r="N13" i="3"/>
  <c r="L13" i="3"/>
  <c r="N12" i="3"/>
  <c r="L12" i="3" s="1"/>
  <c r="N11" i="3"/>
  <c r="L11" i="3"/>
  <c r="N10" i="3"/>
  <c r="L10" i="3" s="1"/>
  <c r="N9" i="3"/>
  <c r="L9" i="3"/>
  <c r="N8" i="3"/>
  <c r="L8" i="3" s="1"/>
  <c r="N7" i="3"/>
  <c r="L7" i="3"/>
  <c r="N6" i="3"/>
  <c r="L6" i="3" s="1"/>
  <c r="E16" i="2"/>
  <c r="F16" i="2" s="1"/>
  <c r="G16" i="2" s="1"/>
  <c r="H16" i="2" s="1"/>
  <c r="I16" i="2" s="1"/>
  <c r="J16" i="2" s="1"/>
  <c r="K16" i="2" s="1"/>
  <c r="D16" i="2"/>
  <c r="D17" i="2" s="1"/>
  <c r="K15" i="2"/>
  <c r="J15" i="2"/>
  <c r="I15" i="2"/>
  <c r="H15" i="2"/>
  <c r="G15" i="2"/>
  <c r="F15" i="2"/>
  <c r="E15" i="2"/>
  <c r="D13" i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O13" i="1" s="1"/>
  <c r="P13" i="1" s="1"/>
  <c r="P12" i="1"/>
  <c r="O12" i="1"/>
  <c r="N12" i="1"/>
  <c r="M12" i="1"/>
  <c r="L12" i="1"/>
  <c r="K12" i="1"/>
  <c r="J12" i="1"/>
  <c r="I12" i="1"/>
  <c r="H12" i="1"/>
  <c r="G12" i="1"/>
  <c r="F12" i="1"/>
  <c r="E12" i="1"/>
  <c r="E26" i="6" l="1"/>
  <c r="K26" i="6"/>
  <c r="F26" i="6"/>
  <c r="G26" i="6"/>
  <c r="H26" i="6"/>
  <c r="J26" i="6"/>
  <c r="G17" i="2"/>
  <c r="E17" i="2"/>
  <c r="K17" i="2"/>
  <c r="I17" i="2"/>
  <c r="J17" i="2"/>
  <c r="H17" i="2"/>
  <c r="F17" i="2"/>
  <c r="D14" i="1"/>
  <c r="K14" i="1" l="1"/>
  <c r="I14" i="1"/>
  <c r="P14" i="1"/>
  <c r="H14" i="1"/>
  <c r="G14" i="1"/>
  <c r="N14" i="1"/>
  <c r="O14" i="1"/>
  <c r="F14" i="1"/>
  <c r="L14" i="1"/>
  <c r="J14" i="1"/>
  <c r="M14" i="1"/>
  <c r="E14" i="1"/>
</calcChain>
</file>

<file path=xl/sharedStrings.xml><?xml version="1.0" encoding="utf-8"?>
<sst xmlns="http://schemas.openxmlformats.org/spreadsheetml/2006/main" count="379" uniqueCount="154">
  <si>
    <t>Sprint 1 Burndown Chart</t>
  </si>
  <si>
    <t>Sprint 1</t>
  </si>
  <si>
    <t>Task ID</t>
  </si>
  <si>
    <t>Descrição da Tarefa</t>
  </si>
  <si>
    <t>Estimativa Inicial</t>
  </si>
  <si>
    <t>Dia 0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</si>
  <si>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</si>
  <si>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</si>
  <si>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</si>
  <si>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</si>
  <si>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</si>
  <si>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</si>
  <si>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</si>
  <si>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</si>
  <si>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</si>
  <si>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</si>
  <si>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</si>
  <si>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</si>
  <si>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T1: Play the first area of the game</t>
  </si>
  <si>
    <t>T2: Read through the classes in the codebase.</t>
  </si>
  <si>
    <t>T3: Define roughly functionality 1.</t>
  </si>
  <si>
    <t>T4: Define roughly functionality 2.</t>
  </si>
  <si>
    <t>T5: Define roughly functionality 3.</t>
  </si>
  <si>
    <t>T6: Trial modification of code.</t>
  </si>
  <si>
    <t>Esforço Completo</t>
  </si>
  <si>
    <t>Esforço Restante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</si>
  <si>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</si>
  <si>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2 Burndown Chart</t>
  </si>
  <si>
    <t xml:space="preserve">T7: Make feature goals more specific.
</t>
  </si>
  <si>
    <t>T8: Brainstorm further features for replacement (if necessary).</t>
  </si>
  <si>
    <t>T9: Study code associated to undo/redo feature</t>
  </si>
  <si>
    <t xml:space="preserve">T10: Study code associated to water piping system.
</t>
  </si>
  <si>
    <t>T11: Define functionality 1</t>
  </si>
  <si>
    <t>T12: Define functionality 2.</t>
  </si>
  <si>
    <t>T13: Define functionality 3.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</si>
  <si>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</si>
  <si>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Sprint 3 Burndown Chart</t>
  </si>
  <si>
    <t>Carolina</t>
  </si>
  <si>
    <t>T11: Study code associated to water piping system.</t>
  </si>
  <si>
    <t>Diogo</t>
  </si>
  <si>
    <t xml:space="preserve">T14.1: Revisit the read code, and find code smells. </t>
  </si>
  <si>
    <t>Gabriela</t>
  </si>
  <si>
    <t xml:space="preserve">T14.2: Revisit the read code, and find code smells. </t>
  </si>
  <si>
    <t>T14.3: Revisit the read code, and find code smells.</t>
  </si>
  <si>
    <t>Gabriel</t>
  </si>
  <si>
    <t>T14.4: Revisit the read code, and find code smells.</t>
  </si>
  <si>
    <t>T14.5: Revisit the read code, and find code smells.</t>
  </si>
  <si>
    <t>Dinis</t>
  </si>
  <si>
    <t>T14.6: Revisit the read code, and find code smells.</t>
  </si>
  <si>
    <t>Manel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</si>
  <si>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</si>
  <si>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</si>
  <si>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</si>
  <si>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</si>
  <si>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</si>
  <si>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</si>
  <si>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</si>
  <si>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</si>
  <si>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</si>
  <si>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</si>
  <si>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</si>
  <si>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</si>
  <si>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</si>
  <si>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</si>
  <si>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</si>
  <si>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</si>
  <si>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</si>
  <si>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</si>
  <si>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</si>
  <si>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</si>
  <si>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</si>
  <si>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</si>
  <si>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</si>
  <si>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</si>
  <si>
    <r>
      <rPr>
        <b/>
        <i/>
        <sz val="11"/>
        <color theme="1"/>
        <rFont val="Calibri"/>
        <family val="2"/>
      </rPr>
      <t xml:space="preserve">Burndown </t>
    </r>
    <r>
      <rPr>
        <b/>
        <sz val="11"/>
        <color theme="1"/>
        <rFont val="Calibri"/>
        <family val="2"/>
      </rPr>
      <t>Ideal</t>
    </r>
  </si>
  <si>
    <t>$$</t>
  </si>
  <si>
    <t>T23: Review and look into what a Use case diagram covering undo/redo added feature would look like.</t>
  </si>
  <si>
    <t>T24: Review and look into what a Use case diagram covering leakage added feature would look like.</t>
  </si>
  <si>
    <t>Sprint 5 Burndown Chart</t>
  </si>
  <si>
    <t>T28: Work on implementing US2 (Leaks).</t>
  </si>
  <si>
    <t>T27: Work on implementing US1 (Undo / Redo).</t>
  </si>
  <si>
    <t>T25: Go over milestone 2 reviews and identify issues that can be worked on.</t>
  </si>
  <si>
    <t>T26: identify areas of code relating to leaks.</t>
  </si>
  <si>
    <t>T30: Look into relevant code for implementing US4 (copy and its history)</t>
  </si>
  <si>
    <t>T29: Look into relevant code for implementing US3 (turret targeting)</t>
  </si>
  <si>
    <t>Sprint 6 Burndown Chart</t>
  </si>
  <si>
    <t>31.1</t>
  </si>
  <si>
    <t>31.2</t>
  </si>
  <si>
    <t>32.1</t>
  </si>
  <si>
    <t>32.2</t>
  </si>
  <si>
    <t>33.1</t>
  </si>
  <si>
    <t>33.2</t>
  </si>
  <si>
    <t>34.1</t>
  </si>
  <si>
    <t>34.2</t>
  </si>
  <si>
    <t>37.1</t>
  </si>
  <si>
    <t>37.2</t>
  </si>
  <si>
    <t>38.1</t>
  </si>
  <si>
    <t>38.2</t>
  </si>
  <si>
    <t>Manuel</t>
  </si>
  <si>
    <t>Work on implementing US3 (turret's targeting).</t>
  </si>
  <si>
    <t>Work on implementing US4 (copy and its history).</t>
  </si>
  <si>
    <t>Look into what a Use Case covering US3 would look like (turret's targeting).</t>
  </si>
  <si>
    <t>Look into what a Use Case covering US4 would look like (copy and its history).</t>
  </si>
  <si>
    <t>Work on the extensive version of US1's use case (undo/redo).</t>
  </si>
  <si>
    <t>Work on the extensive version of US2's use case (liquid leak checking).</t>
  </si>
  <si>
    <t>Work on the extensive version of US3's use case (turret's targeting).</t>
  </si>
  <si>
    <t>Work on the extensive version of US4's use case (copy and its history).</t>
  </si>
  <si>
    <t>Work on the sequence diagram for US1 (undo/redo).</t>
  </si>
  <si>
    <t>Work on the sequence diagram for US2 (liquid leak checking).</t>
  </si>
  <si>
    <t>Look into what a Class Diagram covering US1 would look like (undo/redo).</t>
  </si>
  <si>
    <t>Look into what a class diagram covering US2 would look like (liquid leak checking).</t>
  </si>
  <si>
    <t>Sprint 6</t>
  </si>
  <si>
    <t>Sprint 5</t>
  </si>
  <si>
    <t>Sprint 4</t>
  </si>
  <si>
    <t>Sprint 4 Burndown Chart</t>
  </si>
  <si>
    <t>Sprint 3</t>
  </si>
  <si>
    <t>Sprint 2</t>
  </si>
  <si>
    <t>2-nov.-25</t>
  </si>
  <si>
    <t>3-nov.-25</t>
  </si>
  <si>
    <t>4-nov.-25</t>
  </si>
  <si>
    <t>5-nov.-25</t>
  </si>
  <si>
    <t>6-nov.-25</t>
  </si>
  <si>
    <t>7-nov.-25</t>
  </si>
  <si>
    <t>8-nov.-25</t>
  </si>
  <si>
    <t>T14.1: Revisit the read code, and find code smells.</t>
  </si>
  <si>
    <t>DONE</t>
  </si>
  <si>
    <t>T16.4: Revisit the read code, and find design patterns.</t>
  </si>
  <si>
    <t>T16.5: Revisit the read code, and find design patterns.</t>
  </si>
  <si>
    <t>T16.6: Revisit the read code, and find design patterns.</t>
  </si>
  <si>
    <t>T19.1: Revisit the read code, and study the associated metrics.</t>
  </si>
  <si>
    <t>T19.2: Revisit the read code, and study the associated metrics.</t>
  </si>
  <si>
    <t>T19.3: Revisit the read code, and study the associated metrics.</t>
  </si>
  <si>
    <t>T19.4: Revisit the read code, and study the associated metrics.</t>
  </si>
  <si>
    <t>T19.5: Revisit the read code, and study the associated metrics.</t>
  </si>
  <si>
    <t>T19.6: Revisit the read code, and study the associated metrics.</t>
  </si>
  <si>
    <t>T20.1: Document said metrics.</t>
  </si>
  <si>
    <t>T20.2: Document said metrics.</t>
  </si>
  <si>
    <t>T20.3: Document said metrics.</t>
  </si>
  <si>
    <t>T20.4: Document said metrics.</t>
  </si>
  <si>
    <t>T20.5: Document said metrics.</t>
  </si>
  <si>
    <t>T20.6: Document said metrics.</t>
  </si>
  <si>
    <t>T21.1: Revisit the read code, and choose a part of the system to work on.</t>
  </si>
  <si>
    <t>T21.2: Revisit the read code, and choose a part of the system to work on.</t>
  </si>
  <si>
    <t>T21.3: Revisit the read code, and choose a part of the system to work on.</t>
  </si>
  <si>
    <t>T21.4: Revisit the read code, and choose a part of the system to work on.</t>
  </si>
  <si>
    <t>T21.5: Revisit the read code, and choose a part of the system to work on.</t>
  </si>
  <si>
    <t>T21.6: Revisit the read code, and choose a part of the system to work on.</t>
  </si>
  <si>
    <t>T22.1: Develop the Use Case Diagram of the chosen system part.</t>
  </si>
  <si>
    <t>T22.2: Develop the Use Case Diagram of the chosen system part.</t>
  </si>
  <si>
    <t>T22.3: Develop the Use Case Diagram of the chosen system part.</t>
  </si>
  <si>
    <t>T22.4: Develop the Use Case Diagram of the chosen system part.</t>
  </si>
  <si>
    <t>T22.5: Develop the Use Case Diagram of the chosen system part.</t>
  </si>
  <si>
    <t>T22.6: Develop the Use Case Diagram of the chosen system part.</t>
  </si>
  <si>
    <r>
      <t xml:space="preserve">Burndown </t>
    </r>
    <r>
      <rPr>
        <b/>
        <sz val="11"/>
        <color rgb="FF000000"/>
        <rFont val="Calibri"/>
        <family val="2"/>
        <scheme val="minor"/>
      </rPr>
      <t>Ideal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</si>
</sst>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20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3F3F3F"/>
      <name val="Calibri"/>
      <family val="2"/>
    </font>
    <font>
      <sz val="20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rgb="FFFFFFFF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F7CAAC"/>
        <bgColor rgb="FFF7CAAC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548135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D666"/>
        <bgColor indexed="64"/>
      </patternFill>
    </fill>
    <fill>
      <patternFill patternType="solid">
        <fgColor rgb="FF8EE839"/>
        <bgColor indexed="64"/>
      </patternFill>
    </fill>
    <fill>
      <patternFill patternType="solid">
        <fgColor rgb="FFE3DA5B"/>
        <bgColor indexed="64"/>
      </patternFill>
    </fill>
    <fill>
      <patternFill patternType="solid">
        <fgColor rgb="FF72EC2E"/>
        <bgColor indexed="64"/>
      </patternFill>
    </fill>
    <fill>
      <patternFill patternType="solid">
        <fgColor rgb="FFAAE344"/>
        <bgColor indexed="64"/>
      </patternFill>
    </fill>
    <fill>
      <patternFill patternType="solid">
        <fgColor rgb="FF39F517"/>
        <bgColor indexed="64"/>
      </patternFill>
    </fill>
    <fill>
      <patternFill patternType="solid">
        <fgColor rgb="FFC7DF50"/>
        <bgColor indexed="64"/>
      </patternFill>
    </fill>
    <fill>
      <patternFill patternType="solid">
        <fgColor rgb="FFFEF2CB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C5E0B3"/>
        <bgColor indexed="64"/>
      </patternFill>
    </fill>
  </fills>
  <borders count="95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000000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/>
      <top style="medium">
        <color rgb="FFCCCCCC"/>
      </top>
      <bottom style="thick">
        <color rgb="FF000000"/>
      </bottom>
      <diagonal/>
    </border>
    <border>
      <left/>
      <right/>
      <top style="medium">
        <color rgb="FFCCCCCC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4" fillId="0" borderId="0" xfId="0" applyFont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8" xfId="0" applyFont="1" applyBorder="1"/>
    <xf numFmtId="0" fontId="5" fillId="4" borderId="11" xfId="0" applyFont="1" applyFill="1" applyBorder="1" applyAlignment="1">
      <alignment horizontal="center"/>
    </xf>
    <xf numFmtId="15" fontId="5" fillId="3" borderId="12" xfId="0" applyNumberFormat="1" applyFont="1" applyFill="1" applyBorder="1" applyAlignment="1">
      <alignment horizontal="center"/>
    </xf>
    <xf numFmtId="15" fontId="5" fillId="3" borderId="13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18" xfId="0" applyFont="1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right" wrapText="1"/>
    </xf>
    <xf numFmtId="0" fontId="6" fillId="0" borderId="0" xfId="0" applyFont="1" applyAlignment="1">
      <alignment horizontal="left" wrapText="1"/>
    </xf>
    <xf numFmtId="0" fontId="4" fillId="6" borderId="11" xfId="0" applyFont="1" applyFill="1" applyBorder="1" applyAlignment="1">
      <alignment horizontal="center"/>
    </xf>
    <xf numFmtId="0" fontId="4" fillId="7" borderId="12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4" fillId="7" borderId="20" xfId="0" applyFont="1" applyFill="1" applyBorder="1" applyAlignment="1">
      <alignment horizontal="center"/>
    </xf>
    <xf numFmtId="0" fontId="4" fillId="5" borderId="21" xfId="0" applyFont="1" applyFill="1" applyBorder="1" applyAlignment="1">
      <alignment horizontal="right" wrapText="1"/>
    </xf>
    <xf numFmtId="0" fontId="4" fillId="6" borderId="22" xfId="0" applyFont="1" applyFill="1" applyBorder="1" applyAlignment="1">
      <alignment horizontal="center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2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21" xfId="0" applyFont="1" applyFill="1" applyBorder="1" applyAlignment="1">
      <alignment horizontal="center"/>
    </xf>
    <xf numFmtId="0" fontId="4" fillId="8" borderId="11" xfId="0" applyFont="1" applyFill="1" applyBorder="1" applyAlignment="1">
      <alignment horizontal="center"/>
    </xf>
    <xf numFmtId="0" fontId="4" fillId="8" borderId="12" xfId="0" applyFont="1" applyFill="1" applyBorder="1" applyAlignment="1">
      <alignment horizontal="center"/>
    </xf>
    <xf numFmtId="0" fontId="4" fillId="8" borderId="28" xfId="0" applyFont="1" applyFill="1" applyBorder="1" applyAlignment="1">
      <alignment horizontal="center"/>
    </xf>
    <xf numFmtId="0" fontId="4" fillId="8" borderId="29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center"/>
    </xf>
    <xf numFmtId="0" fontId="4" fillId="8" borderId="30" xfId="0" applyFont="1" applyFill="1" applyBorder="1" applyAlignment="1">
      <alignment horizontal="center"/>
    </xf>
    <xf numFmtId="0" fontId="4" fillId="9" borderId="22" xfId="0" applyFont="1" applyFill="1" applyBorder="1" applyAlignment="1">
      <alignment horizontal="center"/>
    </xf>
    <xf numFmtId="164" fontId="4" fillId="9" borderId="21" xfId="0" applyNumberFormat="1" applyFont="1" applyFill="1" applyBorder="1" applyAlignment="1">
      <alignment horizontal="center"/>
    </xf>
    <xf numFmtId="164" fontId="4" fillId="9" borderId="24" xfId="0" applyNumberFormat="1" applyFont="1" applyFill="1" applyBorder="1" applyAlignment="1">
      <alignment horizontal="center"/>
    </xf>
    <xf numFmtId="164" fontId="4" fillId="9" borderId="22" xfId="0" applyNumberFormat="1" applyFont="1" applyFill="1" applyBorder="1" applyAlignment="1">
      <alignment horizontal="center"/>
    </xf>
    <xf numFmtId="164" fontId="4" fillId="9" borderId="33" xfId="0" applyNumberFormat="1" applyFont="1" applyFill="1" applyBorder="1" applyAlignment="1">
      <alignment horizontal="center"/>
    </xf>
    <xf numFmtId="164" fontId="4" fillId="9" borderId="34" xfId="0" applyNumberFormat="1" applyFont="1" applyFill="1" applyBorder="1" applyAlignment="1">
      <alignment horizontal="center"/>
    </xf>
    <xf numFmtId="164" fontId="4" fillId="9" borderId="25" xfId="0" applyNumberFormat="1" applyFont="1" applyFill="1" applyBorder="1" applyAlignment="1">
      <alignment horizontal="center"/>
    </xf>
    <xf numFmtId="0" fontId="4" fillId="10" borderId="16" xfId="0" applyFont="1" applyFill="1" applyBorder="1" applyAlignment="1">
      <alignment horizontal="center"/>
    </xf>
    <xf numFmtId="164" fontId="4" fillId="10" borderId="17" xfId="0" applyNumberFormat="1" applyFont="1" applyFill="1" applyBorder="1" applyAlignment="1">
      <alignment horizontal="center"/>
    </xf>
    <xf numFmtId="164" fontId="4" fillId="10" borderId="37" xfId="0" applyNumberFormat="1" applyFont="1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8" fillId="0" borderId="0" xfId="0" applyFont="1"/>
    <xf numFmtId="0" fontId="9" fillId="0" borderId="0" xfId="0" applyFont="1" applyAlignment="1">
      <alignment wrapText="1"/>
    </xf>
    <xf numFmtId="0" fontId="9" fillId="0" borderId="0" xfId="0" applyFont="1"/>
    <xf numFmtId="0" fontId="4" fillId="5" borderId="38" xfId="0" applyFont="1" applyFill="1" applyBorder="1" applyAlignment="1">
      <alignment horizontal="right" wrapText="1"/>
    </xf>
    <xf numFmtId="0" fontId="4" fillId="7" borderId="39" xfId="0" applyFont="1" applyFill="1" applyBorder="1" applyAlignment="1">
      <alignment horizontal="center"/>
    </xf>
    <xf numFmtId="0" fontId="4" fillId="7" borderId="34" xfId="0" applyFont="1" applyFill="1" applyBorder="1" applyAlignment="1">
      <alignment horizontal="center"/>
    </xf>
    <xf numFmtId="0" fontId="4" fillId="7" borderId="40" xfId="0" applyFont="1" applyFill="1" applyBorder="1" applyAlignment="1">
      <alignment horizontal="center"/>
    </xf>
    <xf numFmtId="0" fontId="4" fillId="7" borderId="33" xfId="0" applyFont="1" applyFill="1" applyBorder="1" applyAlignment="1">
      <alignment horizontal="center"/>
    </xf>
    <xf numFmtId="0" fontId="5" fillId="0" borderId="0" xfId="0" applyFont="1" applyAlignment="1">
      <alignment wrapText="1"/>
    </xf>
    <xf numFmtId="0" fontId="4" fillId="6" borderId="42" xfId="0" applyFont="1" applyFill="1" applyBorder="1" applyAlignment="1">
      <alignment horizontal="center"/>
    </xf>
    <xf numFmtId="0" fontId="8" fillId="0" borderId="2" xfId="0" applyFont="1" applyBorder="1"/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center"/>
    </xf>
    <xf numFmtId="0" fontId="9" fillId="0" borderId="2" xfId="0" applyFont="1" applyBorder="1"/>
    <xf numFmtId="0" fontId="4" fillId="10" borderId="48" xfId="0" applyFont="1" applyFill="1" applyBorder="1" applyAlignment="1">
      <alignment horizontal="center"/>
    </xf>
    <xf numFmtId="164" fontId="4" fillId="10" borderId="48" xfId="0" applyNumberFormat="1" applyFont="1" applyFill="1" applyBorder="1" applyAlignment="1">
      <alignment horizontal="center"/>
    </xf>
    <xf numFmtId="164" fontId="4" fillId="10" borderId="49" xfId="0" applyNumberFormat="1" applyFont="1" applyFill="1" applyBorder="1" applyAlignment="1">
      <alignment horizontal="center"/>
    </xf>
    <xf numFmtId="0" fontId="4" fillId="9" borderId="53" xfId="0" applyFont="1" applyFill="1" applyBorder="1" applyAlignment="1">
      <alignment horizontal="center"/>
    </xf>
    <xf numFmtId="164" fontId="4" fillId="9" borderId="54" xfId="0" applyNumberFormat="1" applyFont="1" applyFill="1" applyBorder="1" applyAlignment="1">
      <alignment horizontal="center"/>
    </xf>
    <xf numFmtId="0" fontId="4" fillId="0" borderId="2" xfId="0" applyFont="1" applyBorder="1" applyAlignment="1">
      <alignment horizontal="left" wrapText="1"/>
    </xf>
    <xf numFmtId="0" fontId="4" fillId="7" borderId="46" xfId="0" applyFont="1" applyFill="1" applyBorder="1" applyAlignment="1">
      <alignment horizontal="center"/>
    </xf>
    <xf numFmtId="0" fontId="4" fillId="7" borderId="44" xfId="0" applyFont="1" applyFill="1" applyBorder="1" applyAlignment="1">
      <alignment horizontal="center"/>
    </xf>
    <xf numFmtId="0" fontId="4" fillId="8" borderId="54" xfId="0" applyFont="1" applyFill="1" applyBorder="1" applyAlignment="1">
      <alignment horizontal="center"/>
    </xf>
    <xf numFmtId="0" fontId="4" fillId="7" borderId="56" xfId="0" applyFont="1" applyFill="1" applyBorder="1" applyAlignment="1">
      <alignment horizontal="center"/>
    </xf>
    <xf numFmtId="0" fontId="4" fillId="7" borderId="43" xfId="0" applyFont="1" applyFill="1" applyBorder="1" applyAlignment="1">
      <alignment horizontal="center"/>
    </xf>
    <xf numFmtId="0" fontId="5" fillId="5" borderId="12" xfId="0" applyFont="1" applyFill="1" applyBorder="1" applyAlignment="1">
      <alignment horizontal="right" wrapText="1"/>
    </xf>
    <xf numFmtId="0" fontId="5" fillId="5" borderId="21" xfId="0" applyFont="1" applyFill="1" applyBorder="1" applyAlignment="1">
      <alignment horizontal="right" wrapText="1"/>
    </xf>
    <xf numFmtId="0" fontId="5" fillId="5" borderId="45" xfId="0" applyFont="1" applyFill="1" applyBorder="1" applyAlignment="1">
      <alignment horizontal="right" wrapText="1"/>
    </xf>
    <xf numFmtId="0" fontId="5" fillId="4" borderId="57" xfId="0" applyFont="1" applyFill="1" applyBorder="1" applyAlignment="1">
      <alignment horizontal="center"/>
    </xf>
    <xf numFmtId="15" fontId="5" fillId="3" borderId="60" xfId="0" applyNumberFormat="1" applyFont="1" applyFill="1" applyBorder="1" applyAlignment="1">
      <alignment horizontal="center"/>
    </xf>
    <xf numFmtId="0" fontId="0" fillId="0" borderId="61" xfId="0" applyBorder="1"/>
    <xf numFmtId="0" fontId="5" fillId="3" borderId="59" xfId="0" applyFont="1" applyFill="1" applyBorder="1" applyAlignment="1">
      <alignment horizontal="center"/>
    </xf>
    <xf numFmtId="15" fontId="5" fillId="3" borderId="9" xfId="0" applyNumberFormat="1" applyFont="1" applyFill="1" applyBorder="1" applyAlignment="1">
      <alignment horizontal="center"/>
    </xf>
    <xf numFmtId="0" fontId="4" fillId="7" borderId="42" xfId="0" applyFont="1" applyFill="1" applyBorder="1" applyAlignment="1">
      <alignment horizontal="center"/>
    </xf>
    <xf numFmtId="0" fontId="5" fillId="3" borderId="55" xfId="0" applyFont="1" applyFill="1" applyBorder="1" applyAlignment="1">
      <alignment horizontal="center"/>
    </xf>
    <xf numFmtId="0" fontId="5" fillId="4" borderId="62" xfId="0" applyFont="1" applyFill="1" applyBorder="1" applyAlignment="1">
      <alignment horizontal="center"/>
    </xf>
    <xf numFmtId="0" fontId="4" fillId="8" borderId="63" xfId="0" applyFont="1" applyFill="1" applyBorder="1" applyAlignment="1">
      <alignment horizontal="center"/>
    </xf>
    <xf numFmtId="0" fontId="4" fillId="6" borderId="64" xfId="0" applyFont="1" applyFill="1" applyBorder="1" applyAlignment="1">
      <alignment horizontal="center"/>
    </xf>
    <xf numFmtId="0" fontId="4" fillId="6" borderId="65" xfId="0" applyFont="1" applyFill="1" applyBorder="1" applyAlignment="1">
      <alignment horizontal="center"/>
    </xf>
    <xf numFmtId="0" fontId="4" fillId="6" borderId="66" xfId="0" applyFont="1" applyFill="1" applyBorder="1" applyAlignment="1">
      <alignment horizontal="center"/>
    </xf>
    <xf numFmtId="0" fontId="5" fillId="9" borderId="31" xfId="0" applyFont="1" applyFill="1" applyBorder="1" applyAlignment="1">
      <alignment horizontal="center"/>
    </xf>
    <xf numFmtId="0" fontId="3" fillId="0" borderId="32" xfId="0" applyFont="1" applyBorder="1"/>
    <xf numFmtId="0" fontId="5" fillId="10" borderId="35" xfId="0" applyFont="1" applyFill="1" applyBorder="1" applyAlignment="1">
      <alignment horizontal="center"/>
    </xf>
    <xf numFmtId="0" fontId="3" fillId="0" borderId="36" xfId="0" applyFont="1" applyBorder="1"/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5" fillId="0" borderId="6" xfId="0" applyFont="1" applyBorder="1" applyAlignment="1">
      <alignment horizontal="center"/>
    </xf>
    <xf numFmtId="0" fontId="3" fillId="0" borderId="7" xfId="0" applyFont="1" applyBorder="1"/>
    <xf numFmtId="0" fontId="5" fillId="3" borderId="9" xfId="0" applyFont="1" applyFill="1" applyBorder="1" applyAlignment="1">
      <alignment horizontal="center" vertical="center"/>
    </xf>
    <xf numFmtId="0" fontId="3" fillId="0" borderId="14" xfId="0" applyFont="1" applyBorder="1"/>
    <xf numFmtId="0" fontId="5" fillId="3" borderId="10" xfId="0" applyFont="1" applyFill="1" applyBorder="1" applyAlignment="1">
      <alignment horizontal="center" vertical="center"/>
    </xf>
    <xf numFmtId="0" fontId="3" fillId="0" borderId="15" xfId="0" applyFont="1" applyBorder="1"/>
    <xf numFmtId="0" fontId="5" fillId="8" borderId="26" xfId="0" applyFont="1" applyFill="1" applyBorder="1" applyAlignment="1">
      <alignment horizontal="center" wrapText="1"/>
    </xf>
    <xf numFmtId="0" fontId="3" fillId="0" borderId="27" xfId="0" applyFont="1" applyBorder="1"/>
    <xf numFmtId="0" fontId="7" fillId="2" borderId="1" xfId="0" applyFont="1" applyFill="1" applyBorder="1" applyAlignment="1">
      <alignment horizontal="center"/>
    </xf>
    <xf numFmtId="0" fontId="8" fillId="0" borderId="0" xfId="0" applyFont="1"/>
    <xf numFmtId="0" fontId="0" fillId="0" borderId="0" xfId="0"/>
    <xf numFmtId="0" fontId="8" fillId="0" borderId="41" xfId="0" applyFont="1" applyBorder="1"/>
    <xf numFmtId="0" fontId="8" fillId="0" borderId="2" xfId="0" applyFont="1" applyBorder="1"/>
    <xf numFmtId="0" fontId="5" fillId="8" borderId="51" xfId="0" applyFont="1" applyFill="1" applyBorder="1" applyAlignment="1">
      <alignment horizontal="center" wrapText="1"/>
    </xf>
    <xf numFmtId="0" fontId="3" fillId="0" borderId="52" xfId="0" applyFont="1" applyBorder="1"/>
    <xf numFmtId="0" fontId="5" fillId="9" borderId="51" xfId="0" applyFont="1" applyFill="1" applyBorder="1" applyAlignment="1">
      <alignment horizontal="center"/>
    </xf>
    <xf numFmtId="0" fontId="5" fillId="10" borderId="47" xfId="0" applyFont="1" applyFill="1" applyBorder="1" applyAlignment="1">
      <alignment horizontal="center"/>
    </xf>
    <xf numFmtId="0" fontId="3" fillId="0" borderId="48" xfId="0" applyFont="1" applyBorder="1"/>
    <xf numFmtId="0" fontId="5" fillId="3" borderId="50" xfId="0" applyFont="1" applyFill="1" applyBorder="1" applyAlignment="1">
      <alignment horizontal="center" vertical="center"/>
    </xf>
    <xf numFmtId="0" fontId="3" fillId="0" borderId="58" xfId="0" applyFont="1" applyBorder="1"/>
    <xf numFmtId="0" fontId="13" fillId="11" borderId="67" xfId="0" applyFont="1" applyFill="1" applyBorder="1" applyAlignment="1">
      <alignment horizontal="center" wrapText="1"/>
    </xf>
    <xf numFmtId="0" fontId="13" fillId="11" borderId="68" xfId="0" applyFont="1" applyFill="1" applyBorder="1" applyAlignment="1">
      <alignment horizontal="center" wrapText="1"/>
    </xf>
    <xf numFmtId="0" fontId="13" fillId="11" borderId="69" xfId="0" applyFont="1" applyFill="1" applyBorder="1" applyAlignment="1">
      <alignment horizontal="center" wrapText="1"/>
    </xf>
    <xf numFmtId="0" fontId="1" fillId="0" borderId="70" xfId="0" applyFont="1" applyBorder="1" applyAlignment="1">
      <alignment wrapText="1"/>
    </xf>
    <xf numFmtId="0" fontId="1" fillId="0" borderId="71" xfId="0" applyFont="1" applyBorder="1" applyAlignment="1">
      <alignment wrapText="1"/>
    </xf>
    <xf numFmtId="0" fontId="1" fillId="0" borderId="72" xfId="0" applyFont="1" applyBorder="1" applyAlignment="1">
      <alignment wrapText="1"/>
    </xf>
    <xf numFmtId="0" fontId="12" fillId="0" borderId="73" xfId="0" applyFont="1" applyBorder="1" applyAlignment="1">
      <alignment horizontal="center" wrapText="1"/>
    </xf>
    <xf numFmtId="0" fontId="12" fillId="0" borderId="74" xfId="0" applyFont="1" applyBorder="1" applyAlignment="1">
      <alignment horizontal="center" wrapText="1"/>
    </xf>
    <xf numFmtId="0" fontId="12" fillId="0" borderId="75" xfId="0" applyFont="1" applyBorder="1" applyAlignment="1">
      <alignment horizontal="center" wrapText="1"/>
    </xf>
    <xf numFmtId="0" fontId="12" fillId="12" borderId="76" xfId="0" applyFont="1" applyFill="1" applyBorder="1" applyAlignment="1">
      <alignment horizontal="center" vertical="center" wrapText="1"/>
    </xf>
    <xf numFmtId="0" fontId="12" fillId="12" borderId="77" xfId="0" applyFont="1" applyFill="1" applyBorder="1" applyAlignment="1">
      <alignment horizontal="center" vertical="center" wrapText="1"/>
    </xf>
    <xf numFmtId="0" fontId="12" fillId="13" borderId="78" xfId="0" applyFont="1" applyFill="1" applyBorder="1" applyAlignment="1">
      <alignment horizontal="center" wrapText="1"/>
    </xf>
    <xf numFmtId="0" fontId="12" fillId="12" borderId="78" xfId="0" applyFont="1" applyFill="1" applyBorder="1" applyAlignment="1">
      <alignment horizontal="center" wrapText="1"/>
    </xf>
    <xf numFmtId="0" fontId="12" fillId="12" borderId="79" xfId="0" applyFont="1" applyFill="1" applyBorder="1" applyAlignment="1">
      <alignment horizontal="center" wrapText="1"/>
    </xf>
    <xf numFmtId="0" fontId="12" fillId="12" borderId="80" xfId="0" applyFont="1" applyFill="1" applyBorder="1" applyAlignment="1">
      <alignment horizontal="center" vertical="center" wrapText="1"/>
    </xf>
    <xf numFmtId="0" fontId="12" fillId="12" borderId="81" xfId="0" applyFont="1" applyFill="1" applyBorder="1" applyAlignment="1">
      <alignment horizontal="center" vertical="center" wrapText="1"/>
    </xf>
    <xf numFmtId="0" fontId="12" fillId="13" borderId="72" xfId="0" applyFont="1" applyFill="1" applyBorder="1" applyAlignment="1">
      <alignment horizontal="center" wrapText="1"/>
    </xf>
    <xf numFmtId="0" fontId="12" fillId="12" borderId="82" xfId="0" applyFont="1" applyFill="1" applyBorder="1" applyAlignment="1">
      <alignment horizontal="center" wrapText="1"/>
    </xf>
    <xf numFmtId="0" fontId="12" fillId="12" borderId="71" xfId="0" applyFont="1" applyFill="1" applyBorder="1" applyAlignment="1">
      <alignment horizontal="center" wrapText="1"/>
    </xf>
    <xf numFmtId="0" fontId="1" fillId="0" borderId="0" xfId="0" applyFont="1"/>
    <xf numFmtId="0" fontId="1" fillId="14" borderId="83" xfId="0" applyFont="1" applyFill="1" applyBorder="1" applyAlignment="1">
      <alignment horizontal="right" wrapText="1"/>
    </xf>
    <xf numFmtId="0" fontId="11" fillId="0" borderId="84" xfId="0" applyFont="1" applyBorder="1" applyAlignment="1">
      <alignment wrapText="1"/>
    </xf>
    <xf numFmtId="0" fontId="1" fillId="15" borderId="72" xfId="0" applyFont="1" applyFill="1" applyBorder="1" applyAlignment="1">
      <alignment horizontal="center" wrapText="1"/>
    </xf>
    <xf numFmtId="0" fontId="1" fillId="16" borderId="79" xfId="0" applyFont="1" applyFill="1" applyBorder="1" applyAlignment="1">
      <alignment horizontal="center" wrapText="1"/>
    </xf>
    <xf numFmtId="0" fontId="1" fillId="16" borderId="79" xfId="0" applyFont="1" applyFill="1" applyBorder="1" applyAlignment="1">
      <alignment wrapText="1"/>
    </xf>
    <xf numFmtId="0" fontId="1" fillId="17" borderId="85" xfId="0" applyFont="1" applyFill="1" applyBorder="1" applyAlignment="1">
      <alignment wrapText="1"/>
    </xf>
    <xf numFmtId="0" fontId="1" fillId="17" borderId="69" xfId="0" applyFont="1" applyFill="1" applyBorder="1" applyAlignment="1">
      <alignment wrapText="1"/>
    </xf>
    <xf numFmtId="0" fontId="1" fillId="18" borderId="86" xfId="0" applyFont="1" applyFill="1" applyBorder="1" applyAlignment="1">
      <alignment horizontal="right" wrapText="1"/>
    </xf>
    <xf numFmtId="0" fontId="1" fillId="0" borderId="86" xfId="0" applyFont="1" applyBorder="1" applyAlignment="1">
      <alignment wrapText="1"/>
    </xf>
    <xf numFmtId="0" fontId="1" fillId="0" borderId="86" xfId="0" applyFont="1" applyBorder="1" applyAlignment="1">
      <alignment horizontal="right" wrapText="1"/>
    </xf>
    <xf numFmtId="0" fontId="12" fillId="0" borderId="84" xfId="0" applyFont="1" applyBorder="1" applyAlignment="1">
      <alignment wrapText="1"/>
    </xf>
    <xf numFmtId="0" fontId="1" fillId="15" borderId="78" xfId="0" applyFont="1" applyFill="1" applyBorder="1" applyAlignment="1">
      <alignment horizontal="center" wrapText="1"/>
    </xf>
    <xf numFmtId="0" fontId="1" fillId="19" borderId="86" xfId="0" applyFont="1" applyFill="1" applyBorder="1" applyAlignment="1">
      <alignment horizontal="right" wrapText="1"/>
    </xf>
    <xf numFmtId="0" fontId="1" fillId="20" borderId="86" xfId="0" applyFont="1" applyFill="1" applyBorder="1" applyAlignment="1">
      <alignment horizontal="right" wrapText="1"/>
    </xf>
    <xf numFmtId="0" fontId="1" fillId="0" borderId="84" xfId="0" applyFont="1" applyBorder="1" applyAlignment="1">
      <alignment wrapText="1"/>
    </xf>
    <xf numFmtId="0" fontId="1" fillId="21" borderId="86" xfId="0" applyFont="1" applyFill="1" applyBorder="1" applyAlignment="1">
      <alignment horizontal="right" wrapText="1"/>
    </xf>
    <xf numFmtId="0" fontId="1" fillId="22" borderId="86" xfId="0" applyFont="1" applyFill="1" applyBorder="1" applyAlignment="1">
      <alignment horizontal="right" wrapText="1"/>
    </xf>
    <xf numFmtId="0" fontId="1" fillId="23" borderId="86" xfId="0" applyFont="1" applyFill="1" applyBorder="1" applyAlignment="1">
      <alignment horizontal="right" wrapText="1"/>
    </xf>
    <xf numFmtId="0" fontId="1" fillId="17" borderId="86" xfId="0" applyFont="1" applyFill="1" applyBorder="1" applyAlignment="1">
      <alignment horizontal="right" wrapText="1"/>
    </xf>
    <xf numFmtId="0" fontId="1" fillId="24" borderId="86" xfId="0" applyFont="1" applyFill="1" applyBorder="1" applyAlignment="1">
      <alignment horizontal="right" wrapText="1"/>
    </xf>
    <xf numFmtId="0" fontId="1" fillId="14" borderId="87" xfId="0" applyFont="1" applyFill="1" applyBorder="1" applyAlignment="1">
      <alignment horizontal="right" wrapText="1"/>
    </xf>
    <xf numFmtId="0" fontId="1" fillId="14" borderId="70" xfId="0" applyFont="1" applyFill="1" applyBorder="1" applyAlignment="1">
      <alignment horizontal="right" wrapText="1"/>
    </xf>
    <xf numFmtId="0" fontId="12" fillId="0" borderId="82" xfId="0" applyFont="1" applyBorder="1" applyAlignment="1">
      <alignment wrapText="1"/>
    </xf>
    <xf numFmtId="0" fontId="1" fillId="16" borderId="82" xfId="0" applyFont="1" applyFill="1" applyBorder="1" applyAlignment="1">
      <alignment wrapText="1"/>
    </xf>
    <xf numFmtId="0" fontId="1" fillId="16" borderId="82" xfId="0" applyFont="1" applyFill="1" applyBorder="1" applyAlignment="1">
      <alignment horizontal="center" wrapText="1"/>
    </xf>
    <xf numFmtId="0" fontId="12" fillId="25" borderId="88" xfId="0" applyFont="1" applyFill="1" applyBorder="1" applyAlignment="1">
      <alignment horizontal="center" wrapText="1"/>
    </xf>
    <xf numFmtId="0" fontId="12" fillId="25" borderId="89" xfId="0" applyFont="1" applyFill="1" applyBorder="1" applyAlignment="1">
      <alignment horizontal="center" wrapText="1"/>
    </xf>
    <xf numFmtId="0" fontId="1" fillId="25" borderId="78" xfId="0" applyFont="1" applyFill="1" applyBorder="1" applyAlignment="1">
      <alignment horizontal="center" wrapText="1"/>
    </xf>
    <xf numFmtId="0" fontId="1" fillId="25" borderId="79" xfId="0" applyFont="1" applyFill="1" applyBorder="1" applyAlignment="1">
      <alignment horizontal="center" wrapText="1"/>
    </xf>
    <xf numFmtId="0" fontId="1" fillId="0" borderId="90" xfId="0" applyFont="1" applyBorder="1" applyAlignment="1">
      <alignment wrapText="1"/>
    </xf>
    <xf numFmtId="0" fontId="12" fillId="26" borderId="91" xfId="0" applyFont="1" applyFill="1" applyBorder="1" applyAlignment="1">
      <alignment horizontal="center" wrapText="1"/>
    </xf>
    <xf numFmtId="0" fontId="12" fillId="26" borderId="92" xfId="0" applyFont="1" applyFill="1" applyBorder="1" applyAlignment="1">
      <alignment horizontal="center" wrapText="1"/>
    </xf>
    <xf numFmtId="0" fontId="1" fillId="26" borderId="78" xfId="0" applyFont="1" applyFill="1" applyBorder="1" applyAlignment="1">
      <alignment horizontal="center" wrapText="1"/>
    </xf>
    <xf numFmtId="0" fontId="1" fillId="26" borderId="79" xfId="0" applyFont="1" applyFill="1" applyBorder="1" applyAlignment="1">
      <alignment horizontal="center" wrapText="1"/>
    </xf>
    <xf numFmtId="0" fontId="14" fillId="27" borderId="93" xfId="0" applyFont="1" applyFill="1" applyBorder="1" applyAlignment="1">
      <alignment horizontal="center" wrapText="1"/>
    </xf>
    <xf numFmtId="0" fontId="14" fillId="27" borderId="94" xfId="0" applyFont="1" applyFill="1" applyBorder="1" applyAlignment="1">
      <alignment horizontal="center" wrapText="1"/>
    </xf>
    <xf numFmtId="0" fontId="1" fillId="27" borderId="72" xfId="0" applyFont="1" applyFill="1" applyBorder="1" applyAlignment="1">
      <alignment horizontal="center" wrapText="1"/>
    </xf>
    <xf numFmtId="0" fontId="1" fillId="27" borderId="82" xfId="0" applyFont="1" applyFill="1" applyBorder="1" applyAlignment="1">
      <alignment horizontal="center" wrapText="1"/>
    </xf>
  </cellXfs>
  <cellStyles count="1">
    <cellStyle name="Normal" xfId="0" builtinId="0"/>
  </cellStyles>
  <dxfs count="16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0.30000000000000004</c:v>
                </c:pt>
                <c:pt idx="7">
                  <c:v>1.8</c:v>
                </c:pt>
                <c:pt idx="8">
                  <c:v>2.5999999999999996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67990533"/>
        <c:axId val="318874718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9.7000000000000011</c:v>
                </c:pt>
                <c:pt idx="6">
                  <c:v>9.4</c:v>
                </c:pt>
                <c:pt idx="7">
                  <c:v>7.6000000000000005</c:v>
                </c:pt>
                <c:pt idx="8">
                  <c:v>5.0000000000000009</c:v>
                </c:pt>
                <c:pt idx="9">
                  <c:v>4.3000000000000007</c:v>
                </c:pt>
                <c:pt idx="10">
                  <c:v>3.8000000000000007</c:v>
                </c:pt>
                <c:pt idx="11">
                  <c:v>3.5000000000000009</c:v>
                </c:pt>
                <c:pt idx="12">
                  <c:v>3.5000000000000009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2-4DE7-81D5-C2C871704367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0.0</c:formatCode>
                <c:ptCount val="13"/>
                <c:pt idx="0" formatCode="General">
                  <c:v>14</c:v>
                </c:pt>
                <c:pt idx="1">
                  <c:v>12.833333333333334</c:v>
                </c:pt>
                <c:pt idx="2">
                  <c:v>11.666666666666666</c:v>
                </c:pt>
                <c:pt idx="3">
                  <c:v>10.5</c:v>
                </c:pt>
                <c:pt idx="4">
                  <c:v>9.3333333333333321</c:v>
                </c:pt>
                <c:pt idx="5">
                  <c:v>8.1666666666666661</c:v>
                </c:pt>
                <c:pt idx="6">
                  <c:v>7</c:v>
                </c:pt>
                <c:pt idx="7">
                  <c:v>5.8333333333333321</c:v>
                </c:pt>
                <c:pt idx="8">
                  <c:v>4.6666666666666661</c:v>
                </c:pt>
                <c:pt idx="9">
                  <c:v>3.5</c:v>
                </c:pt>
                <c:pt idx="10">
                  <c:v>2.3333333333333321</c:v>
                </c:pt>
                <c:pt idx="11">
                  <c:v>1.1666666666666661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02-4DE7-81D5-C2C871704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7990533"/>
        <c:axId val="318874718"/>
      </c:lineChart>
      <c:catAx>
        <c:axId val="1067990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8874718"/>
        <c:crosses val="autoZero"/>
        <c:auto val="1"/>
        <c:lblAlgn val="ctr"/>
        <c:lblOffset val="100"/>
        <c:noMultiLvlLbl val="1"/>
      </c:catAx>
      <c:valAx>
        <c:axId val="318874718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799053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0.70000000000000007</c:v>
                </c:pt>
                <c:pt idx="4">
                  <c:v>1.1000000000000001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144813"/>
        <c:axId val="110752417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</c:v>
                </c:pt>
                <c:pt idx="2">
                  <c:v>5.0999999999999996</c:v>
                </c:pt>
                <c:pt idx="3">
                  <c:v>4.3999999999999995</c:v>
                </c:pt>
                <c:pt idx="4">
                  <c:v>3.2999999999999994</c:v>
                </c:pt>
                <c:pt idx="5">
                  <c:v>2.6999999999999993</c:v>
                </c:pt>
                <c:pt idx="6">
                  <c:v>2.1999999999999993</c:v>
                </c:pt>
                <c:pt idx="7">
                  <c:v>1.6999999999999993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9E-49A9-B62C-4D5891AD13A8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0.0</c:formatCode>
                <c:ptCount val="8"/>
                <c:pt idx="0" formatCode="General">
                  <c:v>6.5</c:v>
                </c:pt>
                <c:pt idx="1">
                  <c:v>5.5714285714285712</c:v>
                </c:pt>
                <c:pt idx="2">
                  <c:v>4.6428571428571423</c:v>
                </c:pt>
                <c:pt idx="3">
                  <c:v>3.7142857142857144</c:v>
                </c:pt>
                <c:pt idx="4">
                  <c:v>2.7857142857142856</c:v>
                </c:pt>
                <c:pt idx="5">
                  <c:v>1.8571428571428568</c:v>
                </c:pt>
                <c:pt idx="6">
                  <c:v>0.92857142857142883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9E-49A9-B62C-4D5891AD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144813"/>
        <c:axId val="110752417"/>
      </c:lineChart>
      <c:catAx>
        <c:axId val="463144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752417"/>
        <c:crosses val="autoZero"/>
        <c:auto val="1"/>
        <c:lblAlgn val="ctr"/>
        <c:lblOffset val="100"/>
        <c:noMultiLvlLbl val="1"/>
      </c:catAx>
      <c:valAx>
        <c:axId val="110752417"/>
        <c:scaling>
          <c:orientation val="minMax"/>
          <c:max val="1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314481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1.0499999999999998</c:v>
                </c:pt>
                <c:pt idx="6">
                  <c:v>2.8000000000000007</c:v>
                </c:pt>
                <c:pt idx="7">
                  <c:v>2.4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12.600000000000001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1-44E3-9B34-0FBB7D87C8C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1-44E3-9B34-0FBB7D87C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pt-PT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'[1]Burndown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'[1]Burndown Chart Sprint4'!$D$51:$K$51</c:f>
              <c:numCache>
                <c:formatCode>General</c:formatCode>
                <c:ptCount val="8"/>
                <c:pt idx="0">
                  <c:v>0</c:v>
                </c:pt>
                <c:pt idx="1">
                  <c:v>3.05</c:v>
                </c:pt>
                <c:pt idx="2">
                  <c:v>1.65</c:v>
                </c:pt>
                <c:pt idx="3">
                  <c:v>1.75</c:v>
                </c:pt>
                <c:pt idx="4">
                  <c:v>3.4</c:v>
                </c:pt>
                <c:pt idx="5">
                  <c:v>1.5</c:v>
                </c:pt>
                <c:pt idx="6">
                  <c:v>6.35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647-4B8D-A7FD-ABF0D6193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'[1]Burndown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'[1]Burndown Chart Sprint4'!$D$52:$K$52</c:f>
              <c:numCache>
                <c:formatCode>General</c:formatCode>
                <c:ptCount val="8"/>
                <c:pt idx="0">
                  <c:v>17.7</c:v>
                </c:pt>
                <c:pt idx="1">
                  <c:v>14.7</c:v>
                </c:pt>
                <c:pt idx="2">
                  <c:v>13</c:v>
                </c:pt>
                <c:pt idx="3">
                  <c:v>11.3</c:v>
                </c:pt>
                <c:pt idx="4">
                  <c:v>7.9</c:v>
                </c:pt>
                <c:pt idx="5">
                  <c:v>6.4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47-4B8D-A7FD-ABF0D61938D9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'[1]Burndown Chart Sprint4'!$D$5:$K$5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'[1]Burndown Chart Sprint4'!$D$53:$K$53</c:f>
              <c:numCache>
                <c:formatCode>General</c:formatCode>
                <c:ptCount val="8"/>
                <c:pt idx="0">
                  <c:v>17.7</c:v>
                </c:pt>
                <c:pt idx="1">
                  <c:v>15.2</c:v>
                </c:pt>
                <c:pt idx="2">
                  <c:v>12.6</c:v>
                </c:pt>
                <c:pt idx="3">
                  <c:v>10.1</c:v>
                </c:pt>
                <c:pt idx="4">
                  <c:v>7.6</c:v>
                </c:pt>
                <c:pt idx="5">
                  <c:v>5.0999999999999996</c:v>
                </c:pt>
                <c:pt idx="6">
                  <c:v>2.5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47-4B8D-A7FD-ABF0D6193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PT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pt-PT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PT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PT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1.5999999999999999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3.8000000000000007</c:v>
                </c:pt>
                <c:pt idx="6">
                  <c:v>0.60000000000000053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9B-414C-B9D0-76D608DE1E1A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0.0</c:formatCode>
                <c:ptCount val="8"/>
                <c:pt idx="0" formatCode="General">
                  <c:v>15.6</c:v>
                </c:pt>
                <c:pt idx="1">
                  <c:v>13.37142857142857</c:v>
                </c:pt>
                <c:pt idx="2">
                  <c:v>11.142857142857142</c:v>
                </c:pt>
                <c:pt idx="3">
                  <c:v>8.9142857142857146</c:v>
                </c:pt>
                <c:pt idx="4">
                  <c:v>6.6857142857142851</c:v>
                </c:pt>
                <c:pt idx="5">
                  <c:v>4.4571428571428573</c:v>
                </c:pt>
                <c:pt idx="6">
                  <c:v>2.2285714285714278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9B-414C-B9D0-76D608DE1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16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US" sz="1400" b="0" i="0">
                <a:solidFill>
                  <a:srgbClr val="757575"/>
                </a:solidFill>
                <a:latin typeface="+mn-lt"/>
              </a:rPr>
              <a:t>Sprint Burndown Chart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3.25</c:v>
                </c:pt>
                <c:pt idx="3">
                  <c:v>4.75</c:v>
                </c:pt>
                <c:pt idx="4">
                  <c:v>3.5</c:v>
                </c:pt>
                <c:pt idx="5">
                  <c:v>2</c:v>
                </c:pt>
                <c:pt idx="6">
                  <c:v>4.75</c:v>
                </c:pt>
                <c:pt idx="7">
                  <c:v>4.75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64094762"/>
        <c:axId val="1165773373"/>
      </c:barChart>
      <c:lineChart>
        <c:grouping val="standard"/>
        <c:varyColors val="1"/>
        <c:ser>
          <c:idx val="1"/>
          <c:order val="1"/>
          <c:spPr>
            <a:ln w="28575" cmpd="sng">
              <a:solidFill>
                <a:schemeClr val="accent5"/>
              </a:solidFill>
            </a:ln>
          </c:spPr>
          <c:marker>
            <c:symbol val="circle"/>
            <c:size val="5"/>
            <c:spPr>
              <a:solidFill>
                <a:schemeClr val="accent5"/>
              </a:solidFill>
              <a:ln cmpd="sng">
                <a:solidFill>
                  <a:schemeClr val="accent5"/>
                </a:solidFill>
              </a:ln>
            </c:spPr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0.0</c:formatCode>
                <c:ptCount val="8"/>
                <c:pt idx="0" formatCode="General">
                  <c:v>26</c:v>
                </c:pt>
                <c:pt idx="1">
                  <c:v>23</c:v>
                </c:pt>
                <c:pt idx="2">
                  <c:v>19.75</c:v>
                </c:pt>
                <c:pt idx="3">
                  <c:v>15</c:v>
                </c:pt>
                <c:pt idx="4">
                  <c:v>11.5</c:v>
                </c:pt>
                <c:pt idx="5">
                  <c:v>9.5</c:v>
                </c:pt>
                <c:pt idx="6">
                  <c:v>4.75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43-48C0-ACE3-350B2A067F4F}"/>
            </c:ext>
          </c:extLst>
        </c:ser>
        <c:ser>
          <c:idx val="2"/>
          <c:order val="2"/>
          <c:spPr>
            <a:ln w="28575" cmpd="sng">
              <a:solidFill>
                <a:srgbClr val="00B05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0.0</c:formatCode>
                <c:ptCount val="8"/>
                <c:pt idx="0" formatCode="General">
                  <c:v>26</c:v>
                </c:pt>
                <c:pt idx="1">
                  <c:v>22.285714285714285</c:v>
                </c:pt>
                <c:pt idx="2">
                  <c:v>18.571428571428569</c:v>
                </c:pt>
                <c:pt idx="3">
                  <c:v>14.857142857142858</c:v>
                </c:pt>
                <c:pt idx="4">
                  <c:v>11.142857142857142</c:v>
                </c:pt>
                <c:pt idx="5">
                  <c:v>7.428571428571427</c:v>
                </c:pt>
                <c:pt idx="6">
                  <c:v>3.7142857142857153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43-48C0-ACE3-350B2A067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4094762"/>
        <c:axId val="1165773373"/>
      </c:lineChart>
      <c:catAx>
        <c:axId val="1464094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5773373"/>
        <c:crosses val="autoZero"/>
        <c:auto val="1"/>
        <c:lblAlgn val="ctr"/>
        <c:lblOffset val="100"/>
        <c:noMultiLvlLbl val="1"/>
      </c:catAx>
      <c:valAx>
        <c:axId val="1165773373"/>
        <c:scaling>
          <c:orientation val="minMax"/>
          <c:max val="3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000" b="0" i="0">
                    <a:solidFill>
                      <a:srgbClr val="000000"/>
                    </a:solidFill>
                    <a:latin typeface="+mn-lt"/>
                  </a:rPr>
                  <a:t>Horas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4762"/>
        <c:crosses val="autoZero"/>
        <c:crossBetween val="between"/>
        <c:majorUnit val="4"/>
        <c:minorUnit val="1.3333333333333333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2133600</xdr:colOff>
      <xdr:row>14</xdr:row>
      <xdr:rowOff>38100</xdr:rowOff>
    </xdr:from>
    <xdr:ext cx="9639300" cy="4886325"/>
    <xdr:graphicFrame macro="">
      <xdr:nvGraphicFramePr>
        <xdr:cNvPr id="545194366" name="Chart 1" title="Chart">
          <a:extLst>
            <a:ext uri="{FF2B5EF4-FFF2-40B4-BE49-F238E27FC236}">
              <a16:creationId xmlns:a16="http://schemas.microsoft.com/office/drawing/2014/main" id="{00000000-0008-0000-0000-00007E017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457200</xdr:colOff>
      <xdr:row>18</xdr:row>
      <xdr:rowOff>171450</xdr:rowOff>
    </xdr:from>
    <xdr:ext cx="9639300" cy="4886325"/>
    <xdr:graphicFrame macro="">
      <xdr:nvGraphicFramePr>
        <xdr:cNvPr id="231430725" name="Chart 2" title="Chart">
          <a:extLst>
            <a:ext uri="{FF2B5EF4-FFF2-40B4-BE49-F238E27FC236}">
              <a16:creationId xmlns:a16="http://schemas.microsoft.com/office/drawing/2014/main" id="{00000000-0008-0000-0100-0000455AC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41</xdr:row>
      <xdr:rowOff>171450</xdr:rowOff>
    </xdr:from>
    <xdr:ext cx="9639300" cy="4886325"/>
    <xdr:graphicFrame macro="">
      <xdr:nvGraphicFramePr>
        <xdr:cNvPr id="722181475" name="Chart 3" title="Chart">
          <a:extLst>
            <a:ext uri="{FF2B5EF4-FFF2-40B4-BE49-F238E27FC236}">
              <a16:creationId xmlns:a16="http://schemas.microsoft.com/office/drawing/2014/main" id="{00000000-0008-0000-0200-0000639D0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2576946</xdr:colOff>
      <xdr:row>54</xdr:row>
      <xdr:rowOff>138546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28E13ACF-6ED3-4886-B7C2-4BE4938CC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219075</xdr:colOff>
      <xdr:row>17</xdr:row>
      <xdr:rowOff>171450</xdr:rowOff>
    </xdr:from>
    <xdr:ext cx="9639300" cy="4886325"/>
    <xdr:graphicFrame macro="">
      <xdr:nvGraphicFramePr>
        <xdr:cNvPr id="2" name="Chart 3" title="Chart">
          <a:extLst>
            <a:ext uri="{FF2B5EF4-FFF2-40B4-BE49-F238E27FC236}">
              <a16:creationId xmlns:a16="http://schemas.microsoft.com/office/drawing/2014/main" id="{351E7CBB-A88C-4878-8288-30578360A1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1687286</xdr:colOff>
      <xdr:row>28</xdr:row>
      <xdr:rowOff>108858</xdr:rowOff>
    </xdr:from>
    <xdr:ext cx="9639300" cy="488632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EE8AFAC6-399A-464C-B52A-C3C388339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Desktop\fct-unl\INFORMATICA\5th_sem\courses\ES\project\SE2526_67775_67804_67286_68130_68547_67763\SE202526\Management\Sprint4\burndown\Sprint4_Burndown.xlsx" TargetMode="External"/><Relationship Id="rId1" Type="http://schemas.openxmlformats.org/officeDocument/2006/relationships/externalLinkPath" Target="/Users/gabri/Desktop/fct-unl/INFORMATICA/5th_sem/courses/ES/project/SE2526_67775_67804_67286_68130_68547_67763/SE202526/Management/Sprint4/burndown/Sprint4_Burndow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rndown Chart Sprint1"/>
      <sheetName val="Burndown Chart Sprint2"/>
      <sheetName val="Burndown Chart Sprint3"/>
      <sheetName val="Burndown Chart Sprint4"/>
    </sheetNames>
    <sheetDataSet>
      <sheetData sheetId="0"/>
      <sheetData sheetId="1"/>
      <sheetData sheetId="2"/>
      <sheetData sheetId="3">
        <row r="5">
          <cell r="D5" t="str">
            <v>Dia 0</v>
          </cell>
          <cell r="E5" t="str">
            <v>Dia 1</v>
          </cell>
          <cell r="F5" t="str">
            <v>Dia 2</v>
          </cell>
          <cell r="G5" t="str">
            <v>Dia 3</v>
          </cell>
          <cell r="H5" t="str">
            <v>Dia 4</v>
          </cell>
          <cell r="I5" t="str">
            <v>Dia 5</v>
          </cell>
          <cell r="J5" t="str">
            <v>Dia 6</v>
          </cell>
          <cell r="K5" t="str">
            <v>Dia 7</v>
          </cell>
        </row>
        <row r="51">
          <cell r="D51">
            <v>0</v>
          </cell>
          <cell r="E51">
            <v>3.05</v>
          </cell>
          <cell r="F51">
            <v>1.65</v>
          </cell>
          <cell r="G51">
            <v>1.75</v>
          </cell>
          <cell r="H51">
            <v>3.4</v>
          </cell>
          <cell r="I51">
            <v>1.5</v>
          </cell>
          <cell r="J51">
            <v>6.35</v>
          </cell>
          <cell r="K51">
            <v>0</v>
          </cell>
        </row>
        <row r="52">
          <cell r="D52">
            <v>17.7</v>
          </cell>
          <cell r="E52">
            <v>14.7</v>
          </cell>
          <cell r="F52">
            <v>13</v>
          </cell>
          <cell r="G52">
            <v>11.3</v>
          </cell>
          <cell r="H52">
            <v>7.9</v>
          </cell>
          <cell r="I52">
            <v>6.4</v>
          </cell>
          <cell r="J52">
            <v>0</v>
          </cell>
          <cell r="K52">
            <v>0</v>
          </cell>
        </row>
        <row r="53">
          <cell r="D53">
            <v>17.7</v>
          </cell>
          <cell r="E53">
            <v>15.2</v>
          </cell>
          <cell r="F53">
            <v>12.6</v>
          </cell>
          <cell r="G53">
            <v>10.1</v>
          </cell>
          <cell r="H53">
            <v>7.6</v>
          </cell>
          <cell r="I53">
            <v>5.0999999999999996</v>
          </cell>
          <cell r="J53">
            <v>2.5</v>
          </cell>
          <cell r="K5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00"/>
  <sheetViews>
    <sheetView topLeftCell="C1" workbookViewId="0">
      <selection activeCell="O22" sqref="O22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4" width="10" customWidth="1"/>
    <col min="15" max="15" width="9.7109375" customWidth="1"/>
    <col min="16" max="16" width="9.5703125" customWidth="1"/>
    <col min="17" max="18" width="8.7109375" customWidth="1"/>
  </cols>
  <sheetData>
    <row r="1" spans="2:18" ht="14.25" customHeight="1" x14ac:dyDescent="0.25"/>
    <row r="2" spans="2:18" ht="23.25" customHeight="1" x14ac:dyDescent="0.4">
      <c r="B2" s="90" t="s">
        <v>0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2"/>
      <c r="R2" s="1"/>
    </row>
    <row r="3" spans="2:18" ht="14.25" customHeight="1" x14ac:dyDescent="0.25">
      <c r="B3" s="2"/>
      <c r="C3" s="3"/>
      <c r="D3" s="3"/>
      <c r="E3" s="93" t="s">
        <v>1</v>
      </c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4"/>
    </row>
    <row r="4" spans="2:18" ht="14.25" customHeight="1" x14ac:dyDescent="0.25">
      <c r="B4" s="95" t="s">
        <v>2</v>
      </c>
      <c r="C4" s="97" t="s">
        <v>3</v>
      </c>
      <c r="D4" s="5" t="s">
        <v>4</v>
      </c>
      <c r="E4" s="6">
        <v>45938</v>
      </c>
      <c r="F4" s="6">
        <v>45939</v>
      </c>
      <c r="G4" s="6">
        <v>45940</v>
      </c>
      <c r="H4" s="6">
        <v>45941</v>
      </c>
      <c r="I4" s="6">
        <v>45942</v>
      </c>
      <c r="J4" s="6">
        <v>45943</v>
      </c>
      <c r="K4" s="6">
        <v>45944</v>
      </c>
      <c r="L4" s="6">
        <v>45945</v>
      </c>
      <c r="M4" s="6">
        <v>45946</v>
      </c>
      <c r="N4" s="6">
        <v>45947</v>
      </c>
      <c r="O4" s="6">
        <v>45948</v>
      </c>
      <c r="P4" s="7">
        <v>45949</v>
      </c>
      <c r="Q4" s="4"/>
    </row>
    <row r="5" spans="2:18" ht="14.25" customHeight="1" x14ac:dyDescent="0.25">
      <c r="B5" s="96"/>
      <c r="C5" s="98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10" t="s">
        <v>13</v>
      </c>
      <c r="M5" s="11" t="s">
        <v>14</v>
      </c>
      <c r="N5" s="10" t="s">
        <v>15</v>
      </c>
      <c r="O5" s="11" t="s">
        <v>16</v>
      </c>
      <c r="P5" s="11" t="s">
        <v>17</v>
      </c>
      <c r="Q5" s="4"/>
    </row>
    <row r="6" spans="2:18" ht="14.25" customHeight="1" x14ac:dyDescent="0.25">
      <c r="B6" s="12">
        <v>1</v>
      </c>
      <c r="C6" s="13" t="s">
        <v>18</v>
      </c>
      <c r="D6" s="14">
        <v>3</v>
      </c>
      <c r="E6" s="15"/>
      <c r="F6" s="16"/>
      <c r="G6" s="16"/>
      <c r="H6" s="16">
        <v>1</v>
      </c>
      <c r="I6" s="17"/>
      <c r="J6" s="16"/>
      <c r="K6" s="16"/>
      <c r="L6" s="16">
        <v>1</v>
      </c>
      <c r="M6" s="16"/>
      <c r="N6" s="16"/>
      <c r="O6" s="16"/>
      <c r="P6" s="18"/>
    </row>
    <row r="7" spans="2:18" ht="14.25" customHeight="1" x14ac:dyDescent="0.25">
      <c r="B7" s="19">
        <v>4</v>
      </c>
      <c r="C7" s="13" t="s">
        <v>19</v>
      </c>
      <c r="D7" s="20">
        <v>6</v>
      </c>
      <c r="E7" s="21"/>
      <c r="F7" s="22">
        <v>1</v>
      </c>
      <c r="G7" s="22"/>
      <c r="H7" s="22"/>
      <c r="I7" s="23">
        <v>1.5</v>
      </c>
      <c r="J7" s="22">
        <v>0.2</v>
      </c>
      <c r="K7" s="22"/>
      <c r="L7" s="22">
        <v>0.4</v>
      </c>
      <c r="M7" s="22">
        <v>0.4</v>
      </c>
      <c r="N7" s="22"/>
      <c r="O7" s="22"/>
      <c r="P7" s="24"/>
    </row>
    <row r="8" spans="2:18" ht="14.25" customHeight="1" x14ac:dyDescent="0.25">
      <c r="B8" s="19">
        <v>10</v>
      </c>
      <c r="C8" s="13" t="s">
        <v>20</v>
      </c>
      <c r="D8" s="20">
        <v>1</v>
      </c>
      <c r="E8" s="25"/>
      <c r="F8" s="22"/>
      <c r="G8" s="22">
        <v>0.2</v>
      </c>
      <c r="H8" s="22">
        <v>0.4</v>
      </c>
      <c r="I8" s="23">
        <v>0.2</v>
      </c>
      <c r="J8" s="22">
        <v>0.1</v>
      </c>
      <c r="K8" s="22">
        <v>0.1</v>
      </c>
      <c r="L8" s="22"/>
      <c r="M8" s="22"/>
      <c r="N8" s="22"/>
      <c r="O8" s="22"/>
      <c r="P8" s="24"/>
    </row>
    <row r="9" spans="2:18" ht="14.25" customHeight="1" x14ac:dyDescent="0.25">
      <c r="B9" s="19">
        <v>11</v>
      </c>
      <c r="C9" s="13" t="s">
        <v>21</v>
      </c>
      <c r="D9" s="20">
        <v>1</v>
      </c>
      <c r="E9" s="25"/>
      <c r="F9" s="22"/>
      <c r="G9" s="22"/>
      <c r="H9" s="22"/>
      <c r="I9" s="23"/>
      <c r="J9" s="22"/>
      <c r="K9" s="22">
        <v>0.5</v>
      </c>
      <c r="L9" s="22">
        <v>0.5</v>
      </c>
      <c r="M9" s="22"/>
      <c r="N9" s="22"/>
      <c r="O9" s="22"/>
      <c r="P9" s="24"/>
    </row>
    <row r="10" spans="2:18" ht="14.25" customHeight="1" x14ac:dyDescent="0.25">
      <c r="B10" s="19">
        <v>12</v>
      </c>
      <c r="C10" s="13" t="s">
        <v>22</v>
      </c>
      <c r="D10" s="20">
        <v>1</v>
      </c>
      <c r="E10" s="25"/>
      <c r="F10" s="22"/>
      <c r="G10" s="22"/>
      <c r="H10" s="22"/>
      <c r="I10" s="23"/>
      <c r="J10" s="22"/>
      <c r="K10" s="22">
        <v>0.2</v>
      </c>
      <c r="L10" s="22"/>
      <c r="M10" s="22"/>
      <c r="N10" s="22">
        <v>0.5</v>
      </c>
      <c r="O10" s="22">
        <v>0.3</v>
      </c>
      <c r="P10" s="24"/>
    </row>
    <row r="11" spans="2:18" ht="14.25" customHeight="1" x14ac:dyDescent="0.25">
      <c r="B11" s="19">
        <v>13</v>
      </c>
      <c r="C11" s="13" t="s">
        <v>23</v>
      </c>
      <c r="D11" s="20">
        <v>2</v>
      </c>
      <c r="E11" s="25"/>
      <c r="F11" s="22"/>
      <c r="G11" s="22"/>
      <c r="H11" s="22"/>
      <c r="I11" s="23"/>
      <c r="J11" s="22"/>
      <c r="K11" s="22">
        <v>1</v>
      </c>
      <c r="L11" s="22">
        <v>0.7</v>
      </c>
      <c r="M11" s="22">
        <v>0.3</v>
      </c>
      <c r="N11" s="22"/>
      <c r="O11" s="22"/>
      <c r="P11" s="24"/>
    </row>
    <row r="12" spans="2:18" ht="14.25" customHeight="1" x14ac:dyDescent="0.25">
      <c r="B12" s="99" t="s">
        <v>24</v>
      </c>
      <c r="C12" s="100"/>
      <c r="D12" s="26">
        <v>0</v>
      </c>
      <c r="E12" s="27">
        <f t="shared" ref="E12:P12" si="0">SUM(E6:E11)</f>
        <v>0</v>
      </c>
      <c r="F12" s="28">
        <f t="shared" si="0"/>
        <v>1</v>
      </c>
      <c r="G12" s="28">
        <f t="shared" si="0"/>
        <v>0.2</v>
      </c>
      <c r="H12" s="28">
        <f t="shared" si="0"/>
        <v>1.4</v>
      </c>
      <c r="I12" s="29">
        <f t="shared" si="0"/>
        <v>1.7</v>
      </c>
      <c r="J12" s="30">
        <f t="shared" si="0"/>
        <v>0.30000000000000004</v>
      </c>
      <c r="K12" s="28">
        <f t="shared" si="0"/>
        <v>1.8</v>
      </c>
      <c r="L12" s="28">
        <f t="shared" si="0"/>
        <v>2.5999999999999996</v>
      </c>
      <c r="M12" s="28">
        <f t="shared" si="0"/>
        <v>0.7</v>
      </c>
      <c r="N12" s="30">
        <f t="shared" si="0"/>
        <v>0.5</v>
      </c>
      <c r="O12" s="28">
        <f t="shared" si="0"/>
        <v>0.3</v>
      </c>
      <c r="P12" s="31">
        <f t="shared" si="0"/>
        <v>0</v>
      </c>
    </row>
    <row r="13" spans="2:18" ht="14.25" customHeight="1" x14ac:dyDescent="0.25">
      <c r="B13" s="86" t="s">
        <v>25</v>
      </c>
      <c r="C13" s="87"/>
      <c r="D13" s="32">
        <f>SUM(D6:D12)</f>
        <v>14</v>
      </c>
      <c r="E13" s="33">
        <f t="shared" ref="E13:P13" si="1">D13-SUM(E6:E11)</f>
        <v>14</v>
      </c>
      <c r="F13" s="34">
        <f t="shared" si="1"/>
        <v>13</v>
      </c>
      <c r="G13" s="34">
        <f t="shared" si="1"/>
        <v>12.8</v>
      </c>
      <c r="H13" s="34">
        <f t="shared" si="1"/>
        <v>11.4</v>
      </c>
      <c r="I13" s="35">
        <f t="shared" si="1"/>
        <v>9.7000000000000011</v>
      </c>
      <c r="J13" s="36">
        <f t="shared" si="1"/>
        <v>9.4</v>
      </c>
      <c r="K13" s="36">
        <f t="shared" si="1"/>
        <v>7.6000000000000005</v>
      </c>
      <c r="L13" s="36">
        <f t="shared" si="1"/>
        <v>5.0000000000000009</v>
      </c>
      <c r="M13" s="36">
        <f t="shared" si="1"/>
        <v>4.3000000000000007</v>
      </c>
      <c r="N13" s="34">
        <f t="shared" si="1"/>
        <v>3.8000000000000007</v>
      </c>
      <c r="O13" s="37">
        <f t="shared" si="1"/>
        <v>3.5000000000000009</v>
      </c>
      <c r="P13" s="38">
        <f t="shared" si="1"/>
        <v>3.5000000000000009</v>
      </c>
    </row>
    <row r="14" spans="2:18" ht="14.25" customHeight="1" x14ac:dyDescent="0.25">
      <c r="B14" s="88" t="s">
        <v>26</v>
      </c>
      <c r="C14" s="89"/>
      <c r="D14" s="39">
        <f>D13</f>
        <v>14</v>
      </c>
      <c r="E14" s="40">
        <f>$D$14-($D$14/12*1)</f>
        <v>12.833333333333334</v>
      </c>
      <c r="F14" s="40">
        <f>$D$14-($D$14/12*2)</f>
        <v>11.666666666666666</v>
      </c>
      <c r="G14" s="40">
        <f>$D$14-($D$14/12*3)</f>
        <v>10.5</v>
      </c>
      <c r="H14" s="40">
        <f>$D$14-($D$14/12*4)</f>
        <v>9.3333333333333321</v>
      </c>
      <c r="I14" s="41">
        <f>$D$14-($D$14/12*5)</f>
        <v>8.1666666666666661</v>
      </c>
      <c r="J14" s="41">
        <f>$D$14-($D$14/12*6)</f>
        <v>7</v>
      </c>
      <c r="K14" s="40">
        <f>$D$14-($D$14/12*7)</f>
        <v>5.8333333333333321</v>
      </c>
      <c r="L14" s="40">
        <f>$D$14-($D$14/12*8)</f>
        <v>4.6666666666666661</v>
      </c>
      <c r="M14" s="40">
        <f>$D$14-($D$14/12*9)</f>
        <v>3.5</v>
      </c>
      <c r="N14" s="41">
        <f>$D$14-($D$14/12*10)</f>
        <v>2.3333333333333321</v>
      </c>
      <c r="O14" s="40">
        <f>$D$14-($D$14/12*11)</f>
        <v>1.1666666666666661</v>
      </c>
      <c r="P14" s="41">
        <f>$D$14-($D$14/12*12)</f>
        <v>0</v>
      </c>
    </row>
    <row r="15" spans="2:18" ht="14.25" customHeight="1" x14ac:dyDescent="0.25"/>
    <row r="16" spans="2:18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3:C13"/>
    <mergeCell ref="B14:C14"/>
    <mergeCell ref="B2:P2"/>
    <mergeCell ref="E3:P3"/>
    <mergeCell ref="B4:B5"/>
    <mergeCell ref="C4:C5"/>
    <mergeCell ref="B12:C12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000"/>
  <sheetViews>
    <sheetView topLeftCell="A22" workbookViewId="0">
      <selection activeCell="C8" sqref="C8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1" width="10" customWidth="1"/>
    <col min="12" max="13" width="8.7109375" customWidth="1"/>
  </cols>
  <sheetData>
    <row r="1" spans="2:13" ht="14.25" customHeight="1" x14ac:dyDescent="0.25"/>
    <row r="2" spans="2:13" ht="23.25" customHeight="1" x14ac:dyDescent="0.4">
      <c r="B2" s="101" t="s">
        <v>27</v>
      </c>
      <c r="C2" s="91"/>
      <c r="D2" s="91"/>
      <c r="E2" s="91"/>
      <c r="F2" s="91"/>
      <c r="G2" s="91"/>
      <c r="H2" s="91"/>
      <c r="I2" s="91"/>
      <c r="J2" s="91"/>
      <c r="K2" s="92"/>
      <c r="M2" s="1"/>
    </row>
    <row r="3" spans="2:13" ht="14.25" customHeight="1" x14ac:dyDescent="0.25">
      <c r="B3" s="2"/>
      <c r="C3" s="3"/>
      <c r="D3" s="3"/>
      <c r="E3" s="93" t="s">
        <v>116</v>
      </c>
      <c r="F3" s="94"/>
      <c r="G3" s="94"/>
      <c r="H3" s="94"/>
      <c r="I3" s="94"/>
      <c r="J3" s="94"/>
      <c r="K3" s="94"/>
      <c r="L3" s="4"/>
    </row>
    <row r="4" spans="2:13" ht="14.25" customHeight="1" x14ac:dyDescent="0.25">
      <c r="B4" s="95" t="s">
        <v>2</v>
      </c>
      <c r="C4" s="97" t="s">
        <v>3</v>
      </c>
      <c r="D4" s="5" t="s">
        <v>4</v>
      </c>
      <c r="E4" s="6">
        <v>45950</v>
      </c>
      <c r="F4" s="6">
        <v>45951</v>
      </c>
      <c r="G4" s="6">
        <v>45952</v>
      </c>
      <c r="H4" s="6">
        <v>45953</v>
      </c>
      <c r="I4" s="6">
        <v>45954</v>
      </c>
      <c r="J4" s="6">
        <v>45955</v>
      </c>
      <c r="K4" s="6">
        <v>45956</v>
      </c>
      <c r="L4" s="4"/>
    </row>
    <row r="5" spans="2:13" ht="14.25" customHeight="1" x14ac:dyDescent="0.25">
      <c r="B5" s="96"/>
      <c r="C5" s="98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  <c r="L5" s="4"/>
    </row>
    <row r="6" spans="2:13" ht="14.25" customHeight="1" x14ac:dyDescent="0.25">
      <c r="B6" s="12">
        <v>1</v>
      </c>
      <c r="C6" s="13" t="s">
        <v>18</v>
      </c>
      <c r="D6" s="14">
        <v>0.5</v>
      </c>
      <c r="E6" s="15">
        <v>0.1</v>
      </c>
      <c r="F6" s="16"/>
      <c r="G6" s="16"/>
      <c r="H6" s="16"/>
      <c r="I6" s="17"/>
      <c r="J6" s="16"/>
      <c r="K6" s="16"/>
    </row>
    <row r="7" spans="2:13" ht="14.25" customHeight="1" x14ac:dyDescent="0.25">
      <c r="B7" s="19">
        <v>2</v>
      </c>
      <c r="C7" s="13" t="s">
        <v>19</v>
      </c>
      <c r="D7" s="20">
        <v>1</v>
      </c>
      <c r="E7" s="21">
        <v>0.3</v>
      </c>
      <c r="F7" s="22"/>
      <c r="G7" s="22">
        <v>0.3</v>
      </c>
      <c r="H7" s="22">
        <v>0.4</v>
      </c>
      <c r="I7" s="23"/>
      <c r="J7" s="22"/>
      <c r="K7" s="22"/>
    </row>
    <row r="8" spans="2:13" ht="14.25" customHeight="1" x14ac:dyDescent="0.25">
      <c r="B8" s="19">
        <v>7</v>
      </c>
      <c r="C8" s="13" t="s">
        <v>28</v>
      </c>
      <c r="D8" s="20">
        <v>0.5</v>
      </c>
      <c r="E8" s="25">
        <v>0.2</v>
      </c>
      <c r="F8" s="22">
        <v>0.2</v>
      </c>
      <c r="G8" s="22">
        <v>0.1</v>
      </c>
      <c r="H8" s="22"/>
      <c r="I8" s="23"/>
      <c r="J8" s="22"/>
      <c r="K8" s="22"/>
    </row>
    <row r="9" spans="2:13" ht="14.25" customHeight="1" x14ac:dyDescent="0.25">
      <c r="B9" s="19">
        <v>8</v>
      </c>
      <c r="C9" s="13" t="s">
        <v>29</v>
      </c>
      <c r="D9" s="20">
        <v>1</v>
      </c>
      <c r="E9" s="25"/>
      <c r="F9" s="22"/>
      <c r="G9" s="22">
        <v>0.2</v>
      </c>
      <c r="H9" s="22">
        <v>0.2</v>
      </c>
      <c r="I9" s="23">
        <v>0.1</v>
      </c>
      <c r="J9" s="22"/>
      <c r="K9" s="22"/>
    </row>
    <row r="10" spans="2:13" ht="14.25" customHeight="1" x14ac:dyDescent="0.25">
      <c r="B10" s="19">
        <v>9</v>
      </c>
      <c r="C10" s="13" t="s">
        <v>30</v>
      </c>
      <c r="D10" s="20">
        <v>1</v>
      </c>
      <c r="E10" s="25"/>
      <c r="F10" s="22"/>
      <c r="G10" s="22"/>
      <c r="H10" s="22"/>
      <c r="I10" s="23"/>
      <c r="J10" s="22">
        <v>0.5</v>
      </c>
      <c r="K10" s="22">
        <v>0.5</v>
      </c>
    </row>
    <row r="11" spans="2:13" ht="14.25" customHeight="1" x14ac:dyDescent="0.25">
      <c r="B11" s="19">
        <v>11</v>
      </c>
      <c r="C11" s="13" t="s">
        <v>31</v>
      </c>
      <c r="D11" s="20">
        <v>1</v>
      </c>
      <c r="E11" s="25">
        <v>0.2</v>
      </c>
      <c r="F11" s="22"/>
      <c r="G11" s="22"/>
      <c r="H11" s="22"/>
      <c r="I11" s="23"/>
      <c r="J11" s="22"/>
      <c r="K11" s="22"/>
    </row>
    <row r="12" spans="2:13" ht="14.25" customHeight="1" x14ac:dyDescent="0.25">
      <c r="B12" s="19">
        <v>12</v>
      </c>
      <c r="C12" s="13" t="s">
        <v>32</v>
      </c>
      <c r="D12" s="20">
        <v>0.5</v>
      </c>
      <c r="E12" s="25">
        <v>0.2</v>
      </c>
      <c r="F12" s="22">
        <v>0.2</v>
      </c>
      <c r="G12" s="22">
        <v>0.1</v>
      </c>
      <c r="H12" s="22"/>
      <c r="I12" s="23"/>
      <c r="J12" s="22"/>
      <c r="K12" s="22"/>
    </row>
    <row r="13" spans="2:13" ht="14.25" customHeight="1" x14ac:dyDescent="0.25">
      <c r="B13" s="19">
        <v>13</v>
      </c>
      <c r="C13" s="13" t="s">
        <v>33</v>
      </c>
      <c r="D13" s="20">
        <v>0.5</v>
      </c>
      <c r="E13" s="25"/>
      <c r="F13" s="22"/>
      <c r="G13" s="22"/>
      <c r="H13" s="22">
        <v>0.25</v>
      </c>
      <c r="I13" s="23">
        <v>0.25</v>
      </c>
      <c r="J13" s="22"/>
      <c r="K13" s="22"/>
    </row>
    <row r="14" spans="2:13" ht="14.25" customHeight="1" x14ac:dyDescent="0.25">
      <c r="B14" s="19">
        <v>14</v>
      </c>
      <c r="C14" s="13" t="s">
        <v>34</v>
      </c>
      <c r="D14" s="20">
        <v>0.5</v>
      </c>
      <c r="E14" s="25"/>
      <c r="F14" s="22"/>
      <c r="G14" s="22"/>
      <c r="H14" s="22">
        <v>0.25</v>
      </c>
      <c r="I14" s="23">
        <v>0.25</v>
      </c>
      <c r="J14" s="22"/>
      <c r="K14" s="22"/>
    </row>
    <row r="15" spans="2:13" ht="14.25" customHeight="1" x14ac:dyDescent="0.25">
      <c r="B15" s="99" t="s">
        <v>24</v>
      </c>
      <c r="C15" s="100"/>
      <c r="D15" s="26">
        <v>0</v>
      </c>
      <c r="E15" s="27">
        <f t="shared" ref="E15:K15" si="0">SUM(E6:E14)</f>
        <v>1</v>
      </c>
      <c r="F15" s="28">
        <f t="shared" si="0"/>
        <v>0.4</v>
      </c>
      <c r="G15" s="28">
        <f t="shared" si="0"/>
        <v>0.70000000000000007</v>
      </c>
      <c r="H15" s="28">
        <f t="shared" si="0"/>
        <v>1.1000000000000001</v>
      </c>
      <c r="I15" s="29">
        <f t="shared" si="0"/>
        <v>0.6</v>
      </c>
      <c r="J15" s="30">
        <f t="shared" si="0"/>
        <v>0.5</v>
      </c>
      <c r="K15" s="28">
        <f t="shared" si="0"/>
        <v>0.5</v>
      </c>
    </row>
    <row r="16" spans="2:13" ht="14.25" customHeight="1" x14ac:dyDescent="0.25">
      <c r="B16" s="86" t="s">
        <v>25</v>
      </c>
      <c r="C16" s="87"/>
      <c r="D16" s="32">
        <f>SUM(D6:D15)</f>
        <v>6.5</v>
      </c>
      <c r="E16" s="33">
        <f t="shared" ref="E16:K16" si="1">D16-SUM(E6:E14)</f>
        <v>5.5</v>
      </c>
      <c r="F16" s="34">
        <f t="shared" si="1"/>
        <v>5.0999999999999996</v>
      </c>
      <c r="G16" s="34">
        <f t="shared" si="1"/>
        <v>4.3999999999999995</v>
      </c>
      <c r="H16" s="34">
        <f t="shared" si="1"/>
        <v>3.2999999999999994</v>
      </c>
      <c r="I16" s="35">
        <f t="shared" si="1"/>
        <v>2.6999999999999993</v>
      </c>
      <c r="J16" s="36">
        <f t="shared" si="1"/>
        <v>2.1999999999999993</v>
      </c>
      <c r="K16" s="36">
        <f t="shared" si="1"/>
        <v>1.6999999999999993</v>
      </c>
    </row>
    <row r="17" spans="2:11" ht="14.25" customHeight="1" x14ac:dyDescent="0.25">
      <c r="B17" s="88" t="s">
        <v>35</v>
      </c>
      <c r="C17" s="89"/>
      <c r="D17" s="39">
        <f>D16</f>
        <v>6.5</v>
      </c>
      <c r="E17" s="40">
        <f>$D$17-($D$17/7*1)</f>
        <v>5.5714285714285712</v>
      </c>
      <c r="F17" s="40">
        <f>$D$17-($D$17/7*2)</f>
        <v>4.6428571428571423</v>
      </c>
      <c r="G17" s="40">
        <f>$D$17-($D$17/7*3)</f>
        <v>3.7142857142857144</v>
      </c>
      <c r="H17" s="40">
        <f>$D$17-($D$17/7*4)</f>
        <v>2.7857142857142856</v>
      </c>
      <c r="I17" s="41">
        <f>$D$17-($D$17/7*5)</f>
        <v>1.8571428571428568</v>
      </c>
      <c r="J17" s="41">
        <f>$D$17-($D$17/7*6)</f>
        <v>0.92857142857142883</v>
      </c>
      <c r="K17" s="40">
        <f>$D$17-($D$17/7*7)</f>
        <v>0</v>
      </c>
    </row>
    <row r="18" spans="2:11" ht="14.25" customHeight="1" x14ac:dyDescent="0.25"/>
    <row r="19" spans="2:11" ht="14.25" customHeight="1" x14ac:dyDescent="0.25"/>
    <row r="20" spans="2:11" ht="14.25" customHeight="1" x14ac:dyDescent="0.25"/>
    <row r="21" spans="2:11" ht="14.25" customHeight="1" x14ac:dyDescent="0.25"/>
    <row r="22" spans="2:11" ht="14.25" customHeight="1" x14ac:dyDescent="0.25"/>
    <row r="23" spans="2:11" ht="14.25" customHeight="1" x14ac:dyDescent="0.25"/>
    <row r="24" spans="2:11" ht="14.25" customHeight="1" x14ac:dyDescent="0.25"/>
    <row r="25" spans="2:11" ht="14.25" customHeight="1" x14ac:dyDescent="0.25"/>
    <row r="26" spans="2:11" ht="14.25" customHeight="1" x14ac:dyDescent="0.25"/>
    <row r="27" spans="2:11" ht="14.25" customHeight="1" x14ac:dyDescent="0.25"/>
    <row r="28" spans="2:11" ht="14.25" customHeight="1" x14ac:dyDescent="0.25"/>
    <row r="29" spans="2:11" ht="14.25" customHeight="1" x14ac:dyDescent="0.25"/>
    <row r="30" spans="2:11" ht="14.25" customHeight="1" x14ac:dyDescent="0.25"/>
    <row r="31" spans="2:11" ht="14.25" customHeight="1" x14ac:dyDescent="0.25"/>
    <row r="32" spans="2:1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7">
    <mergeCell ref="B16:C16"/>
    <mergeCell ref="B17:C17"/>
    <mergeCell ref="B2:K2"/>
    <mergeCell ref="E3:K3"/>
    <mergeCell ref="B4:B5"/>
    <mergeCell ref="C4:C5"/>
    <mergeCell ref="B15:C15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1000"/>
  <sheetViews>
    <sheetView topLeftCell="A16" workbookViewId="0">
      <selection activeCell="L45" sqref="L4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1" t="s">
        <v>36</v>
      </c>
      <c r="C2" s="91"/>
      <c r="D2" s="91"/>
      <c r="E2" s="91"/>
      <c r="F2" s="91"/>
      <c r="G2" s="91"/>
      <c r="H2" s="91"/>
      <c r="I2" s="91"/>
      <c r="J2" s="91"/>
      <c r="K2" s="91"/>
      <c r="M2" s="1"/>
    </row>
    <row r="3" spans="2:16" ht="14.25" customHeight="1" x14ac:dyDescent="0.25">
      <c r="B3" s="42"/>
      <c r="C3" s="43"/>
      <c r="D3" s="43"/>
      <c r="E3" s="93" t="s">
        <v>115</v>
      </c>
      <c r="F3" s="94"/>
      <c r="G3" s="94"/>
      <c r="H3" s="94"/>
      <c r="I3" s="94"/>
      <c r="J3" s="94"/>
      <c r="K3" s="94"/>
      <c r="L3" s="4"/>
    </row>
    <row r="4" spans="2:16" ht="14.25" customHeight="1" x14ac:dyDescent="0.25">
      <c r="B4" s="95" t="s">
        <v>2</v>
      </c>
      <c r="C4" s="97" t="s">
        <v>3</v>
      </c>
      <c r="D4" s="5" t="s">
        <v>4</v>
      </c>
      <c r="E4" s="6">
        <v>45957</v>
      </c>
      <c r="F4" s="6">
        <v>45958</v>
      </c>
      <c r="G4" s="6">
        <v>45959</v>
      </c>
      <c r="H4" s="6">
        <v>45960</v>
      </c>
      <c r="I4" s="6">
        <v>45961</v>
      </c>
      <c r="J4" s="6">
        <v>45962</v>
      </c>
      <c r="K4" s="6">
        <v>45963</v>
      </c>
    </row>
    <row r="5" spans="2:16" ht="14.25" customHeight="1" x14ac:dyDescent="0.25">
      <c r="B5" s="96"/>
      <c r="C5" s="98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2">
        <v>1</v>
      </c>
      <c r="C6" s="13" t="s">
        <v>18</v>
      </c>
      <c r="D6" s="14">
        <v>0.1</v>
      </c>
      <c r="E6" s="15"/>
      <c r="F6" s="16"/>
      <c r="G6" s="16"/>
      <c r="H6" s="16"/>
      <c r="I6" s="17"/>
      <c r="J6" s="16">
        <v>0.1</v>
      </c>
      <c r="K6" s="16"/>
      <c r="L6" s="102" t="str">
        <f t="shared" ref="L6:L37" si="0">IF(N6=0, "NOT STARTED",IF(N6&gt;D6, "ERROR TO MUCH WORK", IF(N6=D6, "DONE", "NOT ENOUGH WORK YET")))</f>
        <v>DONE</v>
      </c>
      <c r="M6" s="103"/>
      <c r="N6" s="44">
        <f t="shared" ref="N6:N37" si="1">SUM(E6:K6)</f>
        <v>0.1</v>
      </c>
      <c r="O6" s="44" t="s">
        <v>37</v>
      </c>
      <c r="P6" s="44">
        <v>11</v>
      </c>
    </row>
    <row r="7" spans="2:16" ht="14.25" customHeight="1" x14ac:dyDescent="0.25">
      <c r="B7" s="19">
        <v>11</v>
      </c>
      <c r="C7" s="13" t="s">
        <v>38</v>
      </c>
      <c r="D7" s="20">
        <v>0.5</v>
      </c>
      <c r="E7" s="21">
        <v>0.25</v>
      </c>
      <c r="F7" s="22"/>
      <c r="G7" s="22"/>
      <c r="H7" s="22"/>
      <c r="I7" s="23"/>
      <c r="J7" s="22"/>
      <c r="K7" s="22"/>
      <c r="L7" s="102" t="str">
        <f t="shared" si="0"/>
        <v>NOT ENOUGH WORK YET</v>
      </c>
      <c r="M7" s="103"/>
      <c r="N7" s="44">
        <f t="shared" si="1"/>
        <v>0.25</v>
      </c>
      <c r="O7" s="44" t="s">
        <v>39</v>
      </c>
      <c r="P7" s="44">
        <v>12</v>
      </c>
    </row>
    <row r="8" spans="2:16" ht="14.25" customHeight="1" x14ac:dyDescent="0.25">
      <c r="B8" s="19">
        <v>14.1</v>
      </c>
      <c r="C8" s="13" t="s">
        <v>40</v>
      </c>
      <c r="D8" s="20">
        <v>0.5</v>
      </c>
      <c r="E8" s="25"/>
      <c r="F8" s="22">
        <v>0.25</v>
      </c>
      <c r="G8" s="22"/>
      <c r="H8" s="22"/>
      <c r="I8" s="23"/>
      <c r="J8" s="22">
        <v>0.1</v>
      </c>
      <c r="K8" s="22">
        <v>0.15</v>
      </c>
      <c r="L8" s="102" t="str">
        <f t="shared" si="0"/>
        <v>DONE</v>
      </c>
      <c r="M8" s="103"/>
      <c r="N8" s="44">
        <f t="shared" si="1"/>
        <v>0.5</v>
      </c>
      <c r="O8" s="44" t="s">
        <v>41</v>
      </c>
      <c r="P8" s="44">
        <v>14</v>
      </c>
    </row>
    <row r="9" spans="2:16" ht="14.25" customHeight="1" x14ac:dyDescent="0.25">
      <c r="B9" s="19">
        <v>14.2</v>
      </c>
      <c r="C9" s="13" t="s">
        <v>42</v>
      </c>
      <c r="D9" s="14">
        <v>0.5</v>
      </c>
      <c r="E9" s="25"/>
      <c r="F9" s="22"/>
      <c r="G9" s="22"/>
      <c r="H9" s="22"/>
      <c r="I9" s="23">
        <v>0.25</v>
      </c>
      <c r="J9" s="22">
        <v>0.25</v>
      </c>
      <c r="K9" s="22"/>
      <c r="L9" s="102" t="str">
        <f t="shared" si="0"/>
        <v>DONE</v>
      </c>
      <c r="M9" s="103"/>
      <c r="N9" s="44">
        <f t="shared" si="1"/>
        <v>0.5</v>
      </c>
      <c r="O9" s="44" t="s">
        <v>39</v>
      </c>
      <c r="P9" s="44">
        <v>14</v>
      </c>
    </row>
    <row r="10" spans="2:16" ht="14.25" customHeight="1" x14ac:dyDescent="0.25">
      <c r="B10" s="19">
        <v>14.3</v>
      </c>
      <c r="C10" s="13" t="s">
        <v>43</v>
      </c>
      <c r="D10" s="20">
        <v>0.5</v>
      </c>
      <c r="E10" s="25">
        <v>0.25</v>
      </c>
      <c r="F10" s="22"/>
      <c r="G10" s="22"/>
      <c r="H10" s="22"/>
      <c r="I10" s="23"/>
      <c r="J10" s="22">
        <v>0.25</v>
      </c>
      <c r="K10" s="22"/>
      <c r="L10" s="102" t="str">
        <f t="shared" si="0"/>
        <v>DONE</v>
      </c>
      <c r="M10" s="103"/>
      <c r="N10" s="44">
        <f t="shared" si="1"/>
        <v>0.5</v>
      </c>
      <c r="O10" s="44" t="s">
        <v>44</v>
      </c>
      <c r="P10" s="44">
        <v>14</v>
      </c>
    </row>
    <row r="11" spans="2:16" ht="14.25" customHeight="1" x14ac:dyDescent="0.25">
      <c r="B11" s="19">
        <v>14.4</v>
      </c>
      <c r="C11" s="13" t="s">
        <v>45</v>
      </c>
      <c r="D11" s="20">
        <v>0.5</v>
      </c>
      <c r="E11" s="25"/>
      <c r="F11" s="22"/>
      <c r="G11" s="22"/>
      <c r="H11" s="22">
        <v>0.25</v>
      </c>
      <c r="I11" s="23"/>
      <c r="J11" s="22"/>
      <c r="K11" s="22">
        <v>0.25</v>
      </c>
      <c r="L11" s="102" t="str">
        <f t="shared" si="0"/>
        <v>DONE</v>
      </c>
      <c r="M11" s="103"/>
      <c r="N11" s="44">
        <f t="shared" si="1"/>
        <v>0.5</v>
      </c>
      <c r="O11" s="44" t="s">
        <v>37</v>
      </c>
      <c r="P11" s="44">
        <v>14</v>
      </c>
    </row>
    <row r="12" spans="2:16" ht="14.25" customHeight="1" x14ac:dyDescent="0.25">
      <c r="B12" s="19">
        <v>14.5</v>
      </c>
      <c r="C12" s="45" t="s">
        <v>46</v>
      </c>
      <c r="D12" s="14">
        <v>0.5</v>
      </c>
      <c r="E12" s="25"/>
      <c r="F12" s="22"/>
      <c r="G12" s="22"/>
      <c r="H12" s="22"/>
      <c r="I12" s="23"/>
      <c r="J12" s="22">
        <v>0.25</v>
      </c>
      <c r="K12" s="22"/>
      <c r="L12" s="102" t="str">
        <f t="shared" si="0"/>
        <v>NOT ENOUGH WORK YET</v>
      </c>
      <c r="M12" s="103"/>
      <c r="N12" s="44">
        <f t="shared" si="1"/>
        <v>0.25</v>
      </c>
      <c r="O12" s="44" t="s">
        <v>47</v>
      </c>
      <c r="P12" s="44">
        <v>14</v>
      </c>
    </row>
    <row r="13" spans="2:16" ht="14.25" customHeight="1" x14ac:dyDescent="0.25">
      <c r="B13" s="19">
        <v>14.6</v>
      </c>
      <c r="C13" s="45" t="s">
        <v>48</v>
      </c>
      <c r="D13" s="20">
        <v>0.5</v>
      </c>
      <c r="E13" s="25"/>
      <c r="F13" s="22">
        <v>0.25</v>
      </c>
      <c r="G13" s="22">
        <v>0.25</v>
      </c>
      <c r="H13" s="22"/>
      <c r="I13" s="23"/>
      <c r="J13" s="22"/>
      <c r="K13" s="22"/>
      <c r="L13" s="102" t="str">
        <f t="shared" si="0"/>
        <v>DONE</v>
      </c>
      <c r="M13" s="103"/>
      <c r="N13" s="44">
        <f t="shared" si="1"/>
        <v>0.5</v>
      </c>
      <c r="O13" s="44" t="s">
        <v>49</v>
      </c>
      <c r="P13" s="44">
        <v>14</v>
      </c>
    </row>
    <row r="14" spans="2:16" ht="14.25" customHeight="1" x14ac:dyDescent="0.25">
      <c r="B14" s="19">
        <v>15.1</v>
      </c>
      <c r="C14" s="44" t="s">
        <v>50</v>
      </c>
      <c r="D14" s="20">
        <v>0.5</v>
      </c>
      <c r="E14" s="25"/>
      <c r="F14" s="22"/>
      <c r="G14" s="22"/>
      <c r="H14" s="22"/>
      <c r="I14" s="23"/>
      <c r="J14" s="22"/>
      <c r="K14" s="22">
        <v>0.2</v>
      </c>
      <c r="L14" s="102" t="str">
        <f t="shared" si="0"/>
        <v>NOT ENOUGH WORK YET</v>
      </c>
      <c r="M14" s="103"/>
      <c r="N14" s="44">
        <f t="shared" si="1"/>
        <v>0.2</v>
      </c>
      <c r="O14" s="44" t="s">
        <v>41</v>
      </c>
      <c r="P14" s="44">
        <v>15</v>
      </c>
    </row>
    <row r="15" spans="2:16" ht="14.25" customHeight="1" x14ac:dyDescent="0.25">
      <c r="B15" s="19">
        <v>15.2</v>
      </c>
      <c r="C15" s="44" t="s">
        <v>51</v>
      </c>
      <c r="D15" s="14">
        <v>0.5</v>
      </c>
      <c r="E15" s="25"/>
      <c r="F15" s="22"/>
      <c r="G15" s="22"/>
      <c r="H15" s="22"/>
      <c r="I15" s="23"/>
      <c r="J15" s="22">
        <v>0.25</v>
      </c>
      <c r="K15" s="22">
        <v>0.2</v>
      </c>
      <c r="L15" s="102" t="str">
        <f t="shared" si="0"/>
        <v>NOT ENOUGH WORK YET</v>
      </c>
      <c r="M15" s="103"/>
      <c r="N15" s="44">
        <f t="shared" si="1"/>
        <v>0.45</v>
      </c>
      <c r="O15" s="44" t="s">
        <v>39</v>
      </c>
      <c r="P15" s="44">
        <v>15</v>
      </c>
    </row>
    <row r="16" spans="2:16" ht="14.25" customHeight="1" x14ac:dyDescent="0.25">
      <c r="B16" s="19">
        <v>15.3</v>
      </c>
      <c r="C16" s="44" t="s">
        <v>52</v>
      </c>
      <c r="D16" s="20">
        <v>0.5</v>
      </c>
      <c r="E16" s="25"/>
      <c r="F16" s="22"/>
      <c r="G16" s="22"/>
      <c r="H16" s="22"/>
      <c r="I16" s="23">
        <v>0.1</v>
      </c>
      <c r="J16" s="22">
        <v>0.3</v>
      </c>
      <c r="K16" s="22"/>
      <c r="L16" s="102" t="str">
        <f t="shared" si="0"/>
        <v>NOT ENOUGH WORK YET</v>
      </c>
      <c r="M16" s="103"/>
      <c r="N16" s="44">
        <f t="shared" si="1"/>
        <v>0.4</v>
      </c>
      <c r="O16" s="44" t="s">
        <v>44</v>
      </c>
      <c r="P16" s="44">
        <v>15</v>
      </c>
    </row>
    <row r="17" spans="2:16" ht="14.25" customHeight="1" x14ac:dyDescent="0.25">
      <c r="B17" s="19">
        <v>15.4</v>
      </c>
      <c r="C17" s="44" t="s">
        <v>53</v>
      </c>
      <c r="D17" s="20">
        <v>0.5</v>
      </c>
      <c r="E17" s="25"/>
      <c r="F17" s="22"/>
      <c r="G17" s="22"/>
      <c r="H17" s="22">
        <v>0.2</v>
      </c>
      <c r="I17" s="23"/>
      <c r="J17" s="22"/>
      <c r="K17" s="22">
        <v>0.2</v>
      </c>
      <c r="L17" s="102" t="str">
        <f t="shared" si="0"/>
        <v>NOT ENOUGH WORK YET</v>
      </c>
      <c r="M17" s="103"/>
      <c r="N17" s="44">
        <f t="shared" si="1"/>
        <v>0.4</v>
      </c>
      <c r="O17" s="44" t="s">
        <v>37</v>
      </c>
      <c r="P17" s="44">
        <v>15</v>
      </c>
    </row>
    <row r="18" spans="2:16" ht="14.25" customHeight="1" x14ac:dyDescent="0.25">
      <c r="B18" s="19">
        <v>15.5</v>
      </c>
      <c r="C18" s="44" t="s">
        <v>54</v>
      </c>
      <c r="D18" s="14">
        <v>0.5</v>
      </c>
      <c r="E18" s="25"/>
      <c r="F18" s="22"/>
      <c r="G18" s="22"/>
      <c r="H18" s="22"/>
      <c r="I18" s="23"/>
      <c r="J18" s="22"/>
      <c r="K18" s="22"/>
      <c r="L18" s="102" t="str">
        <f t="shared" si="0"/>
        <v>NOT STARTED</v>
      </c>
      <c r="M18" s="103"/>
      <c r="N18" s="44">
        <f t="shared" si="1"/>
        <v>0</v>
      </c>
      <c r="O18" s="44" t="s">
        <v>47</v>
      </c>
      <c r="P18" s="44">
        <v>15</v>
      </c>
    </row>
    <row r="19" spans="2:16" ht="14.25" customHeight="1" x14ac:dyDescent="0.25">
      <c r="B19" s="19">
        <v>15.6</v>
      </c>
      <c r="C19" s="44" t="s">
        <v>55</v>
      </c>
      <c r="D19" s="20">
        <v>0.5</v>
      </c>
      <c r="E19" s="25"/>
      <c r="F19" s="22"/>
      <c r="G19" s="22"/>
      <c r="H19" s="22">
        <v>0.25</v>
      </c>
      <c r="I19" s="23">
        <v>0.1</v>
      </c>
      <c r="J19" s="22"/>
      <c r="K19" s="22"/>
      <c r="L19" s="102" t="str">
        <f t="shared" si="0"/>
        <v>NOT ENOUGH WORK YET</v>
      </c>
      <c r="M19" s="103"/>
      <c r="N19" s="44">
        <f t="shared" si="1"/>
        <v>0.35</v>
      </c>
      <c r="O19" s="44" t="s">
        <v>49</v>
      </c>
      <c r="P19" s="44">
        <v>15</v>
      </c>
    </row>
    <row r="20" spans="2:16" ht="14.25" customHeight="1" x14ac:dyDescent="0.25">
      <c r="B20" s="19">
        <v>16.100000000000001</v>
      </c>
      <c r="C20" s="13" t="s">
        <v>56</v>
      </c>
      <c r="D20" s="20">
        <v>0.5</v>
      </c>
      <c r="E20" s="25"/>
      <c r="F20" s="22">
        <v>0.1</v>
      </c>
      <c r="G20" s="22">
        <v>0.1</v>
      </c>
      <c r="H20" s="22"/>
      <c r="I20" s="23"/>
      <c r="J20" s="22">
        <v>0.1</v>
      </c>
      <c r="K20" s="22">
        <v>0.2</v>
      </c>
      <c r="L20" s="102" t="str">
        <f t="shared" si="0"/>
        <v>DONE</v>
      </c>
      <c r="M20" s="103"/>
      <c r="N20" s="44">
        <f t="shared" si="1"/>
        <v>0.5</v>
      </c>
      <c r="O20" s="44" t="s">
        <v>41</v>
      </c>
      <c r="P20" s="44">
        <v>16</v>
      </c>
    </row>
    <row r="21" spans="2:16" ht="14.25" customHeight="1" x14ac:dyDescent="0.25">
      <c r="B21" s="19">
        <v>16.2</v>
      </c>
      <c r="C21" s="13" t="s">
        <v>57</v>
      </c>
      <c r="D21" s="14">
        <v>0.5</v>
      </c>
      <c r="E21" s="25"/>
      <c r="F21" s="22"/>
      <c r="G21" s="22"/>
      <c r="H21" s="22"/>
      <c r="I21" s="23">
        <v>0.1</v>
      </c>
      <c r="J21" s="22">
        <v>0.2</v>
      </c>
      <c r="K21" s="22">
        <v>0.2</v>
      </c>
      <c r="L21" s="102" t="str">
        <f t="shared" si="0"/>
        <v>DONE</v>
      </c>
      <c r="M21" s="103"/>
      <c r="N21" s="44">
        <f t="shared" si="1"/>
        <v>0.5</v>
      </c>
      <c r="O21" s="44" t="s">
        <v>39</v>
      </c>
      <c r="P21" s="44">
        <v>16</v>
      </c>
    </row>
    <row r="22" spans="2:16" ht="14.25" customHeight="1" x14ac:dyDescent="0.25">
      <c r="B22" s="19">
        <v>16.3</v>
      </c>
      <c r="C22" s="13" t="s">
        <v>58</v>
      </c>
      <c r="D22" s="20">
        <v>0.5</v>
      </c>
      <c r="E22" s="25">
        <v>0.1</v>
      </c>
      <c r="F22" s="22"/>
      <c r="G22" s="22"/>
      <c r="H22" s="22"/>
      <c r="I22" s="23">
        <v>0.1</v>
      </c>
      <c r="J22" s="22">
        <v>0.1</v>
      </c>
      <c r="K22" s="22">
        <v>0.2</v>
      </c>
      <c r="L22" s="102" t="str">
        <f t="shared" si="0"/>
        <v>DONE</v>
      </c>
      <c r="M22" s="103"/>
      <c r="N22" s="44">
        <f t="shared" si="1"/>
        <v>0.5</v>
      </c>
      <c r="O22" s="44" t="s">
        <v>44</v>
      </c>
      <c r="P22" s="44">
        <v>16</v>
      </c>
    </row>
    <row r="23" spans="2:16" ht="14.25" customHeight="1" x14ac:dyDescent="0.25">
      <c r="B23" s="19">
        <v>16.399999999999999</v>
      </c>
      <c r="C23" s="13" t="s">
        <v>59</v>
      </c>
      <c r="D23" s="20">
        <v>0.5</v>
      </c>
      <c r="E23" s="25"/>
      <c r="F23" s="22"/>
      <c r="G23" s="22"/>
      <c r="H23" s="22"/>
      <c r="I23" s="23"/>
      <c r="J23" s="22"/>
      <c r="K23" s="22">
        <v>0.25</v>
      </c>
      <c r="L23" s="102" t="str">
        <f t="shared" si="0"/>
        <v>NOT ENOUGH WORK YET</v>
      </c>
      <c r="M23" s="103"/>
      <c r="N23" s="44">
        <f t="shared" si="1"/>
        <v>0.25</v>
      </c>
      <c r="O23" s="44" t="s">
        <v>37</v>
      </c>
      <c r="P23" s="44">
        <v>16</v>
      </c>
    </row>
    <row r="24" spans="2:16" ht="14.25" customHeight="1" x14ac:dyDescent="0.25">
      <c r="B24" s="19">
        <v>16.5</v>
      </c>
      <c r="C24" s="13" t="s">
        <v>60</v>
      </c>
      <c r="D24" s="14">
        <v>0.5</v>
      </c>
      <c r="E24" s="25"/>
      <c r="F24" s="22"/>
      <c r="G24" s="22"/>
      <c r="H24" s="22"/>
      <c r="I24" s="23"/>
      <c r="J24" s="22"/>
      <c r="K24" s="22"/>
      <c r="L24" s="102" t="str">
        <f t="shared" si="0"/>
        <v>NOT STARTED</v>
      </c>
      <c r="M24" s="103"/>
      <c r="N24" s="44">
        <f t="shared" si="1"/>
        <v>0</v>
      </c>
      <c r="O24" s="44" t="s">
        <v>47</v>
      </c>
      <c r="P24" s="44">
        <v>16</v>
      </c>
    </row>
    <row r="25" spans="2:16" ht="14.25" customHeight="1" x14ac:dyDescent="0.25">
      <c r="B25" s="19">
        <v>16.600000000000001</v>
      </c>
      <c r="C25" s="13" t="s">
        <v>61</v>
      </c>
      <c r="D25" s="20">
        <v>0.5</v>
      </c>
      <c r="E25" s="25"/>
      <c r="F25" s="22">
        <v>0.25</v>
      </c>
      <c r="G25" s="22"/>
      <c r="H25" s="22"/>
      <c r="I25" s="23"/>
      <c r="J25" s="22"/>
      <c r="K25" s="22"/>
      <c r="L25" s="102" t="str">
        <f t="shared" si="0"/>
        <v>NOT ENOUGH WORK YET</v>
      </c>
      <c r="M25" s="103"/>
      <c r="N25" s="44">
        <f t="shared" si="1"/>
        <v>0.25</v>
      </c>
      <c r="O25" s="44" t="s">
        <v>49</v>
      </c>
      <c r="P25" s="44">
        <v>16</v>
      </c>
    </row>
    <row r="26" spans="2:16" ht="14.25" customHeight="1" x14ac:dyDescent="0.25">
      <c r="B26" s="19">
        <v>17.100000000000001</v>
      </c>
      <c r="C26" s="44" t="s">
        <v>62</v>
      </c>
      <c r="D26" s="20">
        <v>0.5</v>
      </c>
      <c r="E26" s="25"/>
      <c r="F26" s="22">
        <v>0.25</v>
      </c>
      <c r="G26" s="22"/>
      <c r="H26" s="22"/>
      <c r="I26" s="23"/>
      <c r="J26" s="22">
        <v>0.25</v>
      </c>
      <c r="K26" s="22"/>
      <c r="L26" s="102" t="str">
        <f t="shared" si="0"/>
        <v>DONE</v>
      </c>
      <c r="M26" s="103"/>
      <c r="N26" s="44">
        <f t="shared" si="1"/>
        <v>0.5</v>
      </c>
      <c r="O26" s="44" t="s">
        <v>41</v>
      </c>
      <c r="P26" s="44">
        <v>17</v>
      </c>
    </row>
    <row r="27" spans="2:16" ht="14.25" customHeight="1" x14ac:dyDescent="0.25">
      <c r="B27" s="19">
        <v>17.2</v>
      </c>
      <c r="C27" s="44" t="s">
        <v>63</v>
      </c>
      <c r="D27" s="14">
        <v>0.5</v>
      </c>
      <c r="E27" s="25"/>
      <c r="F27" s="22"/>
      <c r="G27" s="22"/>
      <c r="H27" s="22"/>
      <c r="I27" s="23">
        <v>0.2</v>
      </c>
      <c r="J27" s="22">
        <v>0.2</v>
      </c>
      <c r="K27" s="22">
        <v>0.1</v>
      </c>
      <c r="L27" s="102" t="str">
        <f t="shared" si="0"/>
        <v>DONE</v>
      </c>
      <c r="M27" s="103"/>
      <c r="N27" s="44">
        <f t="shared" si="1"/>
        <v>0.5</v>
      </c>
      <c r="O27" s="44" t="s">
        <v>39</v>
      </c>
      <c r="P27" s="44">
        <v>17</v>
      </c>
    </row>
    <row r="28" spans="2:16" ht="14.25" customHeight="1" x14ac:dyDescent="0.25">
      <c r="B28" s="19">
        <v>17.3</v>
      </c>
      <c r="C28" s="44" t="s">
        <v>64</v>
      </c>
      <c r="D28" s="20">
        <v>0.5</v>
      </c>
      <c r="E28" s="25"/>
      <c r="F28" s="22"/>
      <c r="G28" s="22"/>
      <c r="H28" s="22"/>
      <c r="I28" s="23">
        <v>0.2</v>
      </c>
      <c r="J28" s="22">
        <v>0.2</v>
      </c>
      <c r="K28" s="22">
        <v>0.1</v>
      </c>
      <c r="L28" s="102" t="str">
        <f t="shared" si="0"/>
        <v>DONE</v>
      </c>
      <c r="M28" s="103"/>
      <c r="N28" s="44">
        <f t="shared" si="1"/>
        <v>0.5</v>
      </c>
      <c r="O28" s="44" t="s">
        <v>44</v>
      </c>
      <c r="P28" s="44">
        <v>17</v>
      </c>
    </row>
    <row r="29" spans="2:16" ht="14.25" customHeight="1" x14ac:dyDescent="0.25">
      <c r="B29" s="19">
        <v>17.399999999999999</v>
      </c>
      <c r="C29" s="44" t="s">
        <v>65</v>
      </c>
      <c r="D29" s="20">
        <v>0.5</v>
      </c>
      <c r="E29" s="25"/>
      <c r="F29" s="22"/>
      <c r="G29" s="22"/>
      <c r="H29" s="22"/>
      <c r="I29" s="23"/>
      <c r="J29" s="22"/>
      <c r="K29" s="22">
        <v>0.2</v>
      </c>
      <c r="L29" s="102" t="str">
        <f t="shared" si="0"/>
        <v>NOT ENOUGH WORK YET</v>
      </c>
      <c r="M29" s="103"/>
      <c r="N29" s="44">
        <f t="shared" si="1"/>
        <v>0.2</v>
      </c>
      <c r="O29" s="44" t="s">
        <v>37</v>
      </c>
      <c r="P29" s="44">
        <v>17</v>
      </c>
    </row>
    <row r="30" spans="2:16" ht="14.25" customHeight="1" x14ac:dyDescent="0.25">
      <c r="B30" s="19">
        <v>17.5</v>
      </c>
      <c r="C30" s="44" t="s">
        <v>66</v>
      </c>
      <c r="D30" s="14">
        <v>0.5</v>
      </c>
      <c r="E30" s="25"/>
      <c r="F30" s="22"/>
      <c r="G30" s="22"/>
      <c r="H30" s="22"/>
      <c r="I30" s="23"/>
      <c r="J30" s="22"/>
      <c r="K30" s="22"/>
      <c r="L30" s="102" t="str">
        <f t="shared" si="0"/>
        <v>NOT STARTED</v>
      </c>
      <c r="M30" s="103"/>
      <c r="N30" s="44">
        <f t="shared" si="1"/>
        <v>0</v>
      </c>
      <c r="O30" s="44" t="s">
        <v>47</v>
      </c>
      <c r="P30" s="44">
        <v>17</v>
      </c>
    </row>
    <row r="31" spans="2:16" ht="14.25" customHeight="1" x14ac:dyDescent="0.25">
      <c r="B31" s="19">
        <v>17.600000000000001</v>
      </c>
      <c r="C31" s="44" t="s">
        <v>67</v>
      </c>
      <c r="D31" s="20">
        <v>0.5</v>
      </c>
      <c r="E31" s="25"/>
      <c r="F31" s="22">
        <v>0.25</v>
      </c>
      <c r="G31" s="22"/>
      <c r="H31" s="22"/>
      <c r="I31" s="23"/>
      <c r="J31" s="22"/>
      <c r="K31" s="22"/>
      <c r="L31" s="102" t="str">
        <f t="shared" si="0"/>
        <v>NOT ENOUGH WORK YET</v>
      </c>
      <c r="M31" s="103"/>
      <c r="N31" s="44">
        <f t="shared" si="1"/>
        <v>0.25</v>
      </c>
      <c r="O31" s="44" t="s">
        <v>49</v>
      </c>
      <c r="P31" s="44">
        <v>17</v>
      </c>
    </row>
    <row r="32" spans="2:16" ht="14.25" customHeight="1" x14ac:dyDescent="0.25">
      <c r="B32" s="19">
        <v>18.100000000000001</v>
      </c>
      <c r="C32" s="46" t="s">
        <v>68</v>
      </c>
      <c r="D32" s="20">
        <v>0.5</v>
      </c>
      <c r="E32" s="25"/>
      <c r="F32" s="22"/>
      <c r="G32" s="22"/>
      <c r="H32" s="22"/>
      <c r="I32" s="23"/>
      <c r="J32" s="22">
        <v>0.25</v>
      </c>
      <c r="K32" s="22">
        <v>0.15</v>
      </c>
      <c r="L32" s="102" t="str">
        <f t="shared" si="0"/>
        <v>NOT ENOUGH WORK YET</v>
      </c>
      <c r="M32" s="103"/>
      <c r="N32" s="44">
        <f t="shared" si="1"/>
        <v>0.4</v>
      </c>
      <c r="O32" s="44" t="s">
        <v>41</v>
      </c>
      <c r="P32" s="44">
        <v>18</v>
      </c>
    </row>
    <row r="33" spans="2:16" ht="14.25" customHeight="1" x14ac:dyDescent="0.25">
      <c r="B33" s="47">
        <v>18.2</v>
      </c>
      <c r="C33" s="46" t="s">
        <v>69</v>
      </c>
      <c r="D33" s="14">
        <v>0.5</v>
      </c>
      <c r="E33" s="48"/>
      <c r="F33" s="49"/>
      <c r="G33" s="49"/>
      <c r="H33" s="49"/>
      <c r="I33" s="50"/>
      <c r="J33" s="51">
        <v>0.15</v>
      </c>
      <c r="K33" s="49">
        <v>0.15</v>
      </c>
      <c r="L33" s="102" t="str">
        <f t="shared" si="0"/>
        <v>NOT ENOUGH WORK YET</v>
      </c>
      <c r="M33" s="103"/>
      <c r="N33" s="44">
        <f t="shared" si="1"/>
        <v>0.3</v>
      </c>
      <c r="O33" s="44" t="s">
        <v>39</v>
      </c>
      <c r="P33" s="44">
        <v>18</v>
      </c>
    </row>
    <row r="34" spans="2:16" ht="14.25" customHeight="1" x14ac:dyDescent="0.25">
      <c r="B34" s="19">
        <v>18.3</v>
      </c>
      <c r="C34" s="46" t="s">
        <v>70</v>
      </c>
      <c r="D34" s="20">
        <v>0.5</v>
      </c>
      <c r="E34" s="48"/>
      <c r="F34" s="49"/>
      <c r="G34" s="49"/>
      <c r="H34" s="49"/>
      <c r="I34" s="50"/>
      <c r="J34" s="51"/>
      <c r="K34" s="49">
        <v>0.4</v>
      </c>
      <c r="L34" s="102" t="str">
        <f t="shared" si="0"/>
        <v>NOT ENOUGH WORK YET</v>
      </c>
      <c r="M34" s="103"/>
      <c r="N34" s="44">
        <f t="shared" si="1"/>
        <v>0.4</v>
      </c>
      <c r="O34" s="44" t="s">
        <v>44</v>
      </c>
      <c r="P34" s="44">
        <v>18</v>
      </c>
    </row>
    <row r="35" spans="2:16" ht="14.25" customHeight="1" x14ac:dyDescent="0.25">
      <c r="B35" s="47">
        <v>18.399999999999999</v>
      </c>
      <c r="C35" s="46" t="s">
        <v>71</v>
      </c>
      <c r="D35" s="20">
        <v>0.5</v>
      </c>
      <c r="E35" s="48"/>
      <c r="F35" s="49"/>
      <c r="G35" s="49"/>
      <c r="H35" s="49"/>
      <c r="I35" s="50"/>
      <c r="J35" s="51"/>
      <c r="K35" s="49"/>
      <c r="L35" s="102" t="str">
        <f t="shared" si="0"/>
        <v>NOT STARTED</v>
      </c>
      <c r="M35" s="103"/>
      <c r="N35" s="44">
        <f t="shared" si="1"/>
        <v>0</v>
      </c>
      <c r="O35" s="44" t="s">
        <v>37</v>
      </c>
      <c r="P35" s="44">
        <v>18</v>
      </c>
    </row>
    <row r="36" spans="2:16" ht="14.25" customHeight="1" x14ac:dyDescent="0.25">
      <c r="B36" s="19">
        <v>18.5</v>
      </c>
      <c r="C36" s="46" t="s">
        <v>72</v>
      </c>
      <c r="D36" s="14">
        <v>0.5</v>
      </c>
      <c r="E36" s="48"/>
      <c r="F36" s="49"/>
      <c r="G36" s="49"/>
      <c r="H36" s="49"/>
      <c r="I36" s="50"/>
      <c r="J36" s="51"/>
      <c r="K36" s="49"/>
      <c r="L36" s="102" t="str">
        <f t="shared" si="0"/>
        <v>NOT STARTED</v>
      </c>
      <c r="M36" s="103"/>
      <c r="N36" s="44">
        <f t="shared" si="1"/>
        <v>0</v>
      </c>
      <c r="O36" s="44" t="s">
        <v>47</v>
      </c>
      <c r="P36" s="44">
        <v>18</v>
      </c>
    </row>
    <row r="37" spans="2:16" ht="14.25" customHeight="1" x14ac:dyDescent="0.25">
      <c r="B37" s="47">
        <v>18.600000000000001</v>
      </c>
      <c r="C37" s="46" t="s">
        <v>73</v>
      </c>
      <c r="D37" s="20">
        <v>0.5</v>
      </c>
      <c r="E37" s="48"/>
      <c r="F37" s="49"/>
      <c r="G37" s="49"/>
      <c r="H37" s="49"/>
      <c r="I37" s="50">
        <v>0.25</v>
      </c>
      <c r="J37" s="51"/>
      <c r="K37" s="49"/>
      <c r="L37" s="102" t="str">
        <f t="shared" si="0"/>
        <v>NOT ENOUGH WORK YET</v>
      </c>
      <c r="M37" s="103"/>
      <c r="N37" s="44">
        <f t="shared" si="1"/>
        <v>0.25</v>
      </c>
      <c r="O37" s="44" t="s">
        <v>49</v>
      </c>
      <c r="P37" s="44">
        <v>18</v>
      </c>
    </row>
    <row r="38" spans="2:16" ht="14.25" customHeight="1" x14ac:dyDescent="0.25">
      <c r="B38" s="99" t="s">
        <v>24</v>
      </c>
      <c r="C38" s="100"/>
      <c r="D38" s="26">
        <v>0</v>
      </c>
      <c r="E38" s="27">
        <f t="shared" ref="E38:K38" si="2">SUM(E6:E32)</f>
        <v>0.6</v>
      </c>
      <c r="F38" s="28">
        <f t="shared" si="2"/>
        <v>1.35</v>
      </c>
      <c r="G38" s="28">
        <f t="shared" si="2"/>
        <v>0.35</v>
      </c>
      <c r="H38" s="28">
        <f t="shared" si="2"/>
        <v>0.7</v>
      </c>
      <c r="I38" s="29">
        <f t="shared" si="2"/>
        <v>1.0499999999999998</v>
      </c>
      <c r="J38" s="30">
        <f t="shared" si="2"/>
        <v>2.8000000000000007</v>
      </c>
      <c r="K38" s="28">
        <f t="shared" si="2"/>
        <v>2.4</v>
      </c>
    </row>
    <row r="39" spans="2:16" ht="14.25" customHeight="1" x14ac:dyDescent="0.25">
      <c r="B39" s="86" t="s">
        <v>25</v>
      </c>
      <c r="C39" s="87"/>
      <c r="D39" s="32">
        <f>SUM(D6:D38)</f>
        <v>15.6</v>
      </c>
      <c r="E39" s="33">
        <f t="shared" ref="E39:K39" si="3">D39-SUM(E6:E32)</f>
        <v>15</v>
      </c>
      <c r="F39" s="34">
        <f t="shared" si="3"/>
        <v>13.65</v>
      </c>
      <c r="G39" s="34">
        <f t="shared" si="3"/>
        <v>13.3</v>
      </c>
      <c r="H39" s="34">
        <f t="shared" si="3"/>
        <v>12.600000000000001</v>
      </c>
      <c r="I39" s="35">
        <f t="shared" si="3"/>
        <v>11.55</v>
      </c>
      <c r="J39" s="36">
        <f t="shared" si="3"/>
        <v>8.75</v>
      </c>
      <c r="K39" s="36">
        <f t="shared" si="3"/>
        <v>6.35</v>
      </c>
    </row>
    <row r="40" spans="2:16" ht="14.25" customHeight="1" thickBot="1" x14ac:dyDescent="0.3">
      <c r="B40" s="88" t="s">
        <v>74</v>
      </c>
      <c r="C40" s="89"/>
      <c r="D40" s="39">
        <v>15.6</v>
      </c>
      <c r="E40" s="40">
        <f>$D$40-($D$40/7*1)</f>
        <v>13.37142857142857</v>
      </c>
      <c r="F40" s="40">
        <f>$D$40-($D$40/7*2)</f>
        <v>11.142857142857142</v>
      </c>
      <c r="G40" s="40">
        <f>$D$40-($D$40/7*3)</f>
        <v>8.9142857142857146</v>
      </c>
      <c r="H40" s="40">
        <f>$D$40-($D$40/7*4)</f>
        <v>6.6857142857142851</v>
      </c>
      <c r="I40" s="41">
        <f>$D$40-($D$40/7*5)</f>
        <v>4.4571428571428573</v>
      </c>
      <c r="J40" s="41">
        <f>$D$40-($D$40/7*6)</f>
        <v>2.2285714285714278</v>
      </c>
      <c r="K40" s="40">
        <f>$D$40-($D$40/7*7)</f>
        <v>0</v>
      </c>
    </row>
    <row r="41" spans="2:16" ht="14.25" customHeight="1" x14ac:dyDescent="0.25"/>
    <row r="42" spans="2:16" ht="14.25" customHeight="1" x14ac:dyDescent="0.25"/>
    <row r="43" spans="2:16" ht="14.25" customHeight="1" x14ac:dyDescent="0.25"/>
    <row r="44" spans="2:16" ht="14.25" customHeight="1" x14ac:dyDescent="0.25"/>
    <row r="45" spans="2:16" ht="14.25" customHeight="1" x14ac:dyDescent="0.25"/>
    <row r="46" spans="2:16" ht="14.25" customHeight="1" x14ac:dyDescent="0.25"/>
    <row r="47" spans="2:16" ht="14.25" customHeight="1" x14ac:dyDescent="0.25"/>
    <row r="48" spans="2:16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9">
    <mergeCell ref="B39:C39"/>
    <mergeCell ref="B40:C40"/>
    <mergeCell ref="L30:M30"/>
    <mergeCell ref="L31:M31"/>
    <mergeCell ref="L32:M32"/>
    <mergeCell ref="L33:M33"/>
    <mergeCell ref="L34:M34"/>
    <mergeCell ref="L35:M35"/>
    <mergeCell ref="L36:M36"/>
    <mergeCell ref="L27:M27"/>
    <mergeCell ref="L28:M28"/>
    <mergeCell ref="L29:M29"/>
    <mergeCell ref="L37:M37"/>
    <mergeCell ref="B38:C38"/>
    <mergeCell ref="L22:M22"/>
    <mergeCell ref="L23:M23"/>
    <mergeCell ref="L24:M24"/>
    <mergeCell ref="L25:M25"/>
    <mergeCell ref="L26:M26"/>
    <mergeCell ref="L17:M17"/>
    <mergeCell ref="L18:M18"/>
    <mergeCell ref="L19:M19"/>
    <mergeCell ref="L20:M20"/>
    <mergeCell ref="L21:M21"/>
    <mergeCell ref="L12:M12"/>
    <mergeCell ref="L13:M13"/>
    <mergeCell ref="L14:M14"/>
    <mergeCell ref="L15:M15"/>
    <mergeCell ref="L16:M16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conditionalFormatting sqref="L6:L37">
    <cfRule type="cellIs" dxfId="15" priority="1" operator="equal">
      <formula>"DONE"</formula>
    </cfRule>
  </conditionalFormatting>
  <conditionalFormatting sqref="L6:M37">
    <cfRule type="cellIs" dxfId="14" priority="2" operator="equal">
      <formula>"NOT ENOUGH WORK YET"</formula>
    </cfRule>
    <cfRule type="cellIs" dxfId="13" priority="3" operator="equal">
      <formula>"ERROR TO MUCH WORK"</formula>
    </cfRule>
    <cfRule type="cellIs" dxfId="12" priority="5" operator="equal">
      <formula>"NOT STARTED"</formula>
    </cfRule>
  </conditionalFormatting>
  <conditionalFormatting sqref="N8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88"/>
  <sheetViews>
    <sheetView tabSelected="1" topLeftCell="A48" zoomScale="70" zoomScaleNormal="70" workbookViewId="0">
      <selection activeCell="P73" sqref="P73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1:16" ht="14.25" customHeight="1" thickBot="1" x14ac:dyDescent="0.3"/>
    <row r="2" spans="1:16" ht="23.25" customHeight="1" thickBot="1" x14ac:dyDescent="0.45">
      <c r="B2" s="113" t="s">
        <v>114</v>
      </c>
      <c r="C2" s="114"/>
      <c r="D2" s="114"/>
      <c r="E2" s="114"/>
      <c r="F2" s="114"/>
      <c r="G2" s="114"/>
      <c r="H2" s="114"/>
      <c r="I2" s="114"/>
      <c r="J2" s="114"/>
      <c r="K2" s="115"/>
      <c r="M2" s="1"/>
    </row>
    <row r="3" spans="1:16" ht="14.25" customHeight="1" thickBot="1" x14ac:dyDescent="0.3">
      <c r="B3" s="116"/>
      <c r="C3" s="117"/>
      <c r="D3" s="118"/>
      <c r="E3" s="119" t="s">
        <v>113</v>
      </c>
      <c r="F3" s="120"/>
      <c r="G3" s="120"/>
      <c r="H3" s="120"/>
      <c r="I3" s="120"/>
      <c r="J3" s="120"/>
      <c r="K3" s="121"/>
      <c r="L3" s="4"/>
    </row>
    <row r="4" spans="1:16" ht="14.25" customHeight="1" thickTop="1" thickBot="1" x14ac:dyDescent="0.3">
      <c r="B4" s="122" t="s">
        <v>2</v>
      </c>
      <c r="C4" s="123" t="s">
        <v>3</v>
      </c>
      <c r="D4" s="124" t="s">
        <v>4</v>
      </c>
      <c r="E4" s="125" t="s">
        <v>117</v>
      </c>
      <c r="F4" s="125" t="s">
        <v>118</v>
      </c>
      <c r="G4" s="125" t="s">
        <v>119</v>
      </c>
      <c r="H4" s="125" t="s">
        <v>120</v>
      </c>
      <c r="I4" s="125" t="s">
        <v>121</v>
      </c>
      <c r="J4" s="125" t="s">
        <v>122</v>
      </c>
      <c r="K4" s="126" t="s">
        <v>123</v>
      </c>
    </row>
    <row r="5" spans="1:16" ht="14.25" customHeight="1" thickBot="1" x14ac:dyDescent="0.3">
      <c r="B5" s="127"/>
      <c r="C5" s="128"/>
      <c r="D5" s="129" t="s">
        <v>5</v>
      </c>
      <c r="E5" s="130" t="s">
        <v>6</v>
      </c>
      <c r="F5" s="130" t="s">
        <v>7</v>
      </c>
      <c r="G5" s="130" t="s">
        <v>8</v>
      </c>
      <c r="H5" s="130" t="s">
        <v>9</v>
      </c>
      <c r="I5" s="130" t="s">
        <v>10</v>
      </c>
      <c r="J5" s="130" t="s">
        <v>11</v>
      </c>
      <c r="K5" s="131" t="s">
        <v>12</v>
      </c>
    </row>
    <row r="6" spans="1:16" ht="14.25" customHeight="1" thickTop="1" thickBot="1" x14ac:dyDescent="0.3">
      <c r="A6" s="132" t="s">
        <v>75</v>
      </c>
      <c r="B6" s="133">
        <v>14.1</v>
      </c>
      <c r="C6" s="134" t="s">
        <v>124</v>
      </c>
      <c r="D6" s="135">
        <v>0.05</v>
      </c>
      <c r="E6" s="136">
        <v>0.05</v>
      </c>
      <c r="F6" s="137"/>
      <c r="G6" s="137"/>
      <c r="H6" s="137"/>
      <c r="I6" s="137"/>
      <c r="J6" s="137"/>
      <c r="K6" s="137"/>
      <c r="L6" s="138" t="s">
        <v>125</v>
      </c>
      <c r="M6" s="139"/>
      <c r="N6" s="140">
        <v>0.05</v>
      </c>
      <c r="O6" s="141" t="s">
        <v>41</v>
      </c>
      <c r="P6" s="142">
        <v>14</v>
      </c>
    </row>
    <row r="7" spans="1:16" ht="14.25" customHeight="1" thickBot="1" x14ac:dyDescent="0.3">
      <c r="B7" s="133">
        <v>14.5</v>
      </c>
      <c r="C7" s="143" t="s">
        <v>46</v>
      </c>
      <c r="D7" s="144">
        <v>0.25</v>
      </c>
      <c r="E7" s="136">
        <v>0.25</v>
      </c>
      <c r="F7" s="137"/>
      <c r="G7" s="137"/>
      <c r="H7" s="137"/>
      <c r="I7" s="137"/>
      <c r="J7" s="137"/>
      <c r="K7" s="137"/>
      <c r="L7" s="138" t="s">
        <v>125</v>
      </c>
      <c r="M7" s="139"/>
      <c r="N7" s="145">
        <v>0.25</v>
      </c>
      <c r="O7" s="141" t="s">
        <v>47</v>
      </c>
      <c r="P7" s="142">
        <v>14</v>
      </c>
    </row>
    <row r="8" spans="1:16" ht="14.25" customHeight="1" thickBot="1" x14ac:dyDescent="0.3">
      <c r="B8" s="133">
        <v>14.6</v>
      </c>
      <c r="C8" s="143" t="s">
        <v>48</v>
      </c>
      <c r="D8" s="144">
        <v>0.1</v>
      </c>
      <c r="E8" s="136">
        <v>0.1</v>
      </c>
      <c r="F8" s="137"/>
      <c r="G8" s="137"/>
      <c r="H8" s="137"/>
      <c r="I8" s="137"/>
      <c r="J8" s="137"/>
      <c r="K8" s="137"/>
      <c r="L8" s="138" t="s">
        <v>125</v>
      </c>
      <c r="M8" s="139"/>
      <c r="N8" s="146">
        <v>0.1</v>
      </c>
      <c r="O8" s="141" t="s">
        <v>49</v>
      </c>
      <c r="P8" s="142">
        <v>14</v>
      </c>
    </row>
    <row r="9" spans="1:16" ht="14.25" customHeight="1" thickBot="1" x14ac:dyDescent="0.3">
      <c r="B9" s="133">
        <v>15.1</v>
      </c>
      <c r="C9" s="147" t="s">
        <v>50</v>
      </c>
      <c r="D9" s="135">
        <v>0.3</v>
      </c>
      <c r="E9" s="136">
        <v>0.3</v>
      </c>
      <c r="F9" s="137"/>
      <c r="G9" s="137"/>
      <c r="H9" s="137"/>
      <c r="I9" s="137"/>
      <c r="J9" s="137"/>
      <c r="K9" s="137"/>
      <c r="L9" s="138" t="s">
        <v>125</v>
      </c>
      <c r="M9" s="139"/>
      <c r="N9" s="148">
        <v>0.3</v>
      </c>
      <c r="O9" s="141" t="s">
        <v>41</v>
      </c>
      <c r="P9" s="142">
        <v>15</v>
      </c>
    </row>
    <row r="10" spans="1:16" ht="14.25" customHeight="1" thickBot="1" x14ac:dyDescent="0.3">
      <c r="B10" s="133">
        <v>15.2</v>
      </c>
      <c r="C10" s="147" t="s">
        <v>51</v>
      </c>
      <c r="D10" s="144">
        <v>0.05</v>
      </c>
      <c r="E10" s="136">
        <v>0.05</v>
      </c>
      <c r="F10" s="137"/>
      <c r="G10" s="137"/>
      <c r="H10" s="137"/>
      <c r="I10" s="137"/>
      <c r="J10" s="137"/>
      <c r="K10" s="137"/>
      <c r="L10" s="138" t="s">
        <v>125</v>
      </c>
      <c r="M10" s="139"/>
      <c r="N10" s="140">
        <v>0.05</v>
      </c>
      <c r="O10" s="141" t="s">
        <v>39</v>
      </c>
      <c r="P10" s="142">
        <v>15</v>
      </c>
    </row>
    <row r="11" spans="1:16" ht="14.25" customHeight="1" thickBot="1" x14ac:dyDescent="0.3">
      <c r="B11" s="133">
        <v>15.3</v>
      </c>
      <c r="C11" s="147" t="s">
        <v>52</v>
      </c>
      <c r="D11" s="144">
        <v>0.2</v>
      </c>
      <c r="E11" s="136">
        <v>0.2</v>
      </c>
      <c r="F11" s="137"/>
      <c r="G11" s="137"/>
      <c r="H11" s="137"/>
      <c r="I11" s="137"/>
      <c r="J11" s="137"/>
      <c r="K11" s="137"/>
      <c r="L11" s="138" t="s">
        <v>125</v>
      </c>
      <c r="M11" s="139"/>
      <c r="N11" s="149">
        <v>0.2</v>
      </c>
      <c r="O11" s="141" t="s">
        <v>44</v>
      </c>
      <c r="P11" s="142">
        <v>15</v>
      </c>
    </row>
    <row r="12" spans="1:16" ht="14.25" customHeight="1" thickBot="1" x14ac:dyDescent="0.3">
      <c r="B12" s="133">
        <v>15.4</v>
      </c>
      <c r="C12" s="147" t="s">
        <v>53</v>
      </c>
      <c r="D12" s="135">
        <v>0.4</v>
      </c>
      <c r="E12" s="136">
        <v>0.4</v>
      </c>
      <c r="F12" s="137"/>
      <c r="G12" s="137"/>
      <c r="H12" s="137"/>
      <c r="I12" s="137"/>
      <c r="J12" s="137"/>
      <c r="K12" s="137"/>
      <c r="L12" s="138" t="s">
        <v>125</v>
      </c>
      <c r="M12" s="139"/>
      <c r="N12" s="150">
        <v>0.4</v>
      </c>
      <c r="O12" s="141" t="s">
        <v>37</v>
      </c>
      <c r="P12" s="142">
        <v>15</v>
      </c>
    </row>
    <row r="13" spans="1:16" ht="14.25" customHeight="1" thickBot="1" x14ac:dyDescent="0.3">
      <c r="B13" s="133">
        <v>15.5</v>
      </c>
      <c r="C13" s="147" t="s">
        <v>54</v>
      </c>
      <c r="D13" s="144">
        <v>0.5</v>
      </c>
      <c r="E13" s="136">
        <v>0.15</v>
      </c>
      <c r="F13" s="136">
        <v>0.35</v>
      </c>
      <c r="G13" s="137"/>
      <c r="H13" s="137"/>
      <c r="I13" s="137"/>
      <c r="J13" s="137"/>
      <c r="K13" s="137"/>
      <c r="L13" s="138" t="s">
        <v>125</v>
      </c>
      <c r="M13" s="139"/>
      <c r="N13" s="151">
        <v>0.5</v>
      </c>
      <c r="O13" s="141" t="s">
        <v>47</v>
      </c>
      <c r="P13" s="142">
        <v>15</v>
      </c>
    </row>
    <row r="14" spans="1:16" ht="14.25" customHeight="1" thickBot="1" x14ac:dyDescent="0.3">
      <c r="B14" s="133">
        <v>15.6</v>
      </c>
      <c r="C14" s="147" t="s">
        <v>55</v>
      </c>
      <c r="D14" s="144">
        <v>0.15</v>
      </c>
      <c r="E14" s="136">
        <v>0.15</v>
      </c>
      <c r="F14" s="137"/>
      <c r="G14" s="137"/>
      <c r="H14" s="137"/>
      <c r="I14" s="137"/>
      <c r="J14" s="137"/>
      <c r="K14" s="137"/>
      <c r="L14" s="138" t="s">
        <v>125</v>
      </c>
      <c r="M14" s="139"/>
      <c r="N14" s="152">
        <v>0.15</v>
      </c>
      <c r="O14" s="141" t="s">
        <v>49</v>
      </c>
      <c r="P14" s="142">
        <v>15</v>
      </c>
    </row>
    <row r="15" spans="1:16" ht="14.25" customHeight="1" thickBot="1" x14ac:dyDescent="0.3">
      <c r="B15" s="133">
        <v>16.399999999999999</v>
      </c>
      <c r="C15" s="134" t="s">
        <v>126</v>
      </c>
      <c r="D15" s="135">
        <v>0.25</v>
      </c>
      <c r="E15" s="136">
        <v>0.2</v>
      </c>
      <c r="F15" s="136">
        <v>0.05</v>
      </c>
      <c r="G15" s="137"/>
      <c r="H15" s="137"/>
      <c r="I15" s="137"/>
      <c r="J15" s="137"/>
      <c r="K15" s="137"/>
      <c r="L15" s="138" t="s">
        <v>125</v>
      </c>
      <c r="M15" s="139"/>
      <c r="N15" s="145">
        <v>0.25</v>
      </c>
      <c r="O15" s="141" t="s">
        <v>37</v>
      </c>
      <c r="P15" s="142">
        <v>16</v>
      </c>
    </row>
    <row r="16" spans="1:16" ht="14.25" customHeight="1" thickBot="1" x14ac:dyDescent="0.3">
      <c r="B16" s="133">
        <v>16.5</v>
      </c>
      <c r="C16" s="134" t="s">
        <v>127</v>
      </c>
      <c r="D16" s="144">
        <v>0.5</v>
      </c>
      <c r="E16" s="136">
        <v>0.1</v>
      </c>
      <c r="F16" s="136">
        <v>0.3</v>
      </c>
      <c r="G16" s="136">
        <v>0.05</v>
      </c>
      <c r="H16" s="136">
        <v>0.05</v>
      </c>
      <c r="I16" s="137"/>
      <c r="J16" s="137"/>
      <c r="K16" s="137"/>
      <c r="L16" s="138" t="s">
        <v>125</v>
      </c>
      <c r="M16" s="139"/>
      <c r="N16" s="151">
        <v>0.5</v>
      </c>
      <c r="O16" s="141" t="s">
        <v>47</v>
      </c>
      <c r="P16" s="142">
        <v>16</v>
      </c>
    </row>
    <row r="17" spans="2:16" ht="14.25" customHeight="1" thickBot="1" x14ac:dyDescent="0.3">
      <c r="B17" s="133">
        <v>16.600000000000001</v>
      </c>
      <c r="C17" s="134" t="s">
        <v>128</v>
      </c>
      <c r="D17" s="144">
        <v>0.25</v>
      </c>
      <c r="E17" s="136">
        <v>0.1</v>
      </c>
      <c r="F17" s="136">
        <v>0.15</v>
      </c>
      <c r="G17" s="137"/>
      <c r="H17" s="137"/>
      <c r="I17" s="137"/>
      <c r="J17" s="137"/>
      <c r="K17" s="137"/>
      <c r="L17" s="138" t="s">
        <v>125</v>
      </c>
      <c r="M17" s="139"/>
      <c r="N17" s="145">
        <v>0.25</v>
      </c>
      <c r="O17" s="141" t="s">
        <v>49</v>
      </c>
      <c r="P17" s="142">
        <v>16</v>
      </c>
    </row>
    <row r="18" spans="2:16" ht="14.25" customHeight="1" thickBot="1" x14ac:dyDescent="0.3">
      <c r="B18" s="133">
        <v>17.399999999999999</v>
      </c>
      <c r="C18" s="147" t="s">
        <v>65</v>
      </c>
      <c r="D18" s="135">
        <v>0.3</v>
      </c>
      <c r="E18" s="136">
        <v>0.2</v>
      </c>
      <c r="F18" s="136">
        <v>0.1</v>
      </c>
      <c r="G18" s="137"/>
      <c r="H18" s="137"/>
      <c r="I18" s="137"/>
      <c r="J18" s="137"/>
      <c r="K18" s="137"/>
      <c r="L18" s="138" t="s">
        <v>125</v>
      </c>
      <c r="M18" s="139"/>
      <c r="N18" s="148">
        <v>0.3</v>
      </c>
      <c r="O18" s="141" t="s">
        <v>37</v>
      </c>
      <c r="P18" s="142">
        <v>17</v>
      </c>
    </row>
    <row r="19" spans="2:16" ht="14.25" customHeight="1" thickBot="1" x14ac:dyDescent="0.3">
      <c r="B19" s="133">
        <v>17.5</v>
      </c>
      <c r="C19" s="147" t="s">
        <v>66</v>
      </c>
      <c r="D19" s="144">
        <v>0.5</v>
      </c>
      <c r="E19" s="136">
        <v>0.05</v>
      </c>
      <c r="F19" s="136">
        <v>0.15</v>
      </c>
      <c r="G19" s="136">
        <v>0.25</v>
      </c>
      <c r="H19" s="136">
        <v>0.05</v>
      </c>
      <c r="I19" s="137"/>
      <c r="J19" s="137"/>
      <c r="K19" s="137"/>
      <c r="L19" s="138" t="s">
        <v>125</v>
      </c>
      <c r="M19" s="139"/>
      <c r="N19" s="151">
        <v>0.5</v>
      </c>
      <c r="O19" s="141" t="s">
        <v>47</v>
      </c>
      <c r="P19" s="142">
        <v>17</v>
      </c>
    </row>
    <row r="20" spans="2:16" ht="14.25" customHeight="1" thickBot="1" x14ac:dyDescent="0.3">
      <c r="B20" s="133">
        <v>17.600000000000001</v>
      </c>
      <c r="C20" s="147" t="s">
        <v>67</v>
      </c>
      <c r="D20" s="144">
        <v>0.25</v>
      </c>
      <c r="E20" s="136">
        <v>0.05</v>
      </c>
      <c r="F20" s="136">
        <v>0.1</v>
      </c>
      <c r="G20" s="136">
        <v>0.1</v>
      </c>
      <c r="H20" s="137"/>
      <c r="I20" s="137"/>
      <c r="J20" s="137"/>
      <c r="K20" s="137"/>
      <c r="L20" s="138" t="s">
        <v>125</v>
      </c>
      <c r="M20" s="139"/>
      <c r="N20" s="145">
        <v>0.25</v>
      </c>
      <c r="O20" s="141" t="s">
        <v>49</v>
      </c>
      <c r="P20" s="142">
        <v>17</v>
      </c>
    </row>
    <row r="21" spans="2:16" ht="14.25" customHeight="1" thickBot="1" x14ac:dyDescent="0.3">
      <c r="B21" s="133">
        <v>18.100000000000001</v>
      </c>
      <c r="C21" s="143" t="s">
        <v>68</v>
      </c>
      <c r="D21" s="135">
        <v>0.1</v>
      </c>
      <c r="E21" s="136">
        <v>0.05</v>
      </c>
      <c r="F21" s="136">
        <v>0.05</v>
      </c>
      <c r="G21" s="137"/>
      <c r="H21" s="137"/>
      <c r="I21" s="137"/>
      <c r="J21" s="137"/>
      <c r="K21" s="137"/>
      <c r="L21" s="138" t="s">
        <v>125</v>
      </c>
      <c r="M21" s="139"/>
      <c r="N21" s="146">
        <v>0.1</v>
      </c>
      <c r="O21" s="141" t="s">
        <v>41</v>
      </c>
      <c r="P21" s="142">
        <v>18</v>
      </c>
    </row>
    <row r="22" spans="2:16" ht="14.25" customHeight="1" thickBot="1" x14ac:dyDescent="0.3">
      <c r="B22" s="153">
        <v>18.2</v>
      </c>
      <c r="C22" s="143" t="s">
        <v>69</v>
      </c>
      <c r="D22" s="144">
        <v>0.2</v>
      </c>
      <c r="E22" s="136">
        <v>0.2</v>
      </c>
      <c r="F22" s="137"/>
      <c r="G22" s="137"/>
      <c r="H22" s="137"/>
      <c r="I22" s="137"/>
      <c r="J22" s="137"/>
      <c r="K22" s="137"/>
      <c r="L22" s="138" t="s">
        <v>125</v>
      </c>
      <c r="M22" s="139"/>
      <c r="N22" s="149">
        <v>0.2</v>
      </c>
      <c r="O22" s="141" t="s">
        <v>39</v>
      </c>
      <c r="P22" s="142">
        <v>18</v>
      </c>
    </row>
    <row r="23" spans="2:16" ht="14.25" customHeight="1" thickBot="1" x14ac:dyDescent="0.3">
      <c r="B23" s="133">
        <v>18.3</v>
      </c>
      <c r="C23" s="143" t="s">
        <v>70</v>
      </c>
      <c r="D23" s="144">
        <v>0.1</v>
      </c>
      <c r="E23" s="136">
        <v>0.1</v>
      </c>
      <c r="F23" s="137"/>
      <c r="G23" s="137"/>
      <c r="H23" s="137"/>
      <c r="I23" s="137"/>
      <c r="J23" s="137"/>
      <c r="K23" s="137"/>
      <c r="L23" s="138" t="s">
        <v>125</v>
      </c>
      <c r="M23" s="139"/>
      <c r="N23" s="146">
        <v>0.1</v>
      </c>
      <c r="O23" s="141" t="s">
        <v>44</v>
      </c>
      <c r="P23" s="142">
        <v>18</v>
      </c>
    </row>
    <row r="24" spans="2:16" ht="14.25" customHeight="1" thickBot="1" x14ac:dyDescent="0.3">
      <c r="B24" s="153">
        <v>18.399999999999999</v>
      </c>
      <c r="C24" s="143" t="s">
        <v>71</v>
      </c>
      <c r="D24" s="135">
        <v>0.5</v>
      </c>
      <c r="E24" s="136">
        <v>0.25</v>
      </c>
      <c r="F24" s="136">
        <v>0.25</v>
      </c>
      <c r="G24" s="137"/>
      <c r="H24" s="137"/>
      <c r="I24" s="137"/>
      <c r="J24" s="137"/>
      <c r="K24" s="137"/>
      <c r="L24" s="138" t="s">
        <v>125</v>
      </c>
      <c r="M24" s="139"/>
      <c r="N24" s="151">
        <v>0.5</v>
      </c>
      <c r="O24" s="141" t="s">
        <v>37</v>
      </c>
      <c r="P24" s="142">
        <v>18</v>
      </c>
    </row>
    <row r="25" spans="2:16" ht="14.25" customHeight="1" thickBot="1" x14ac:dyDescent="0.3">
      <c r="B25" s="133">
        <v>18.5</v>
      </c>
      <c r="C25" s="143" t="s">
        <v>72</v>
      </c>
      <c r="D25" s="144">
        <v>0.5</v>
      </c>
      <c r="E25" s="136">
        <v>0</v>
      </c>
      <c r="F25" s="136">
        <v>0.1</v>
      </c>
      <c r="G25" s="136">
        <v>0.35</v>
      </c>
      <c r="H25" s="136">
        <v>0.05</v>
      </c>
      <c r="I25" s="137"/>
      <c r="J25" s="137"/>
      <c r="K25" s="137"/>
      <c r="L25" s="138" t="s">
        <v>125</v>
      </c>
      <c r="M25" s="139"/>
      <c r="N25" s="151">
        <v>0.5</v>
      </c>
      <c r="O25" s="141" t="s">
        <v>47</v>
      </c>
      <c r="P25" s="142">
        <v>18</v>
      </c>
    </row>
    <row r="26" spans="2:16" ht="14.25" customHeight="1" thickBot="1" x14ac:dyDescent="0.3">
      <c r="B26" s="153">
        <v>18.600000000000001</v>
      </c>
      <c r="C26" s="143" t="s">
        <v>73</v>
      </c>
      <c r="D26" s="144">
        <v>0.25</v>
      </c>
      <c r="E26" s="136">
        <v>0.1</v>
      </c>
      <c r="F26" s="136">
        <v>0.05</v>
      </c>
      <c r="G26" s="136">
        <v>0.1</v>
      </c>
      <c r="H26" s="137"/>
      <c r="I26" s="137"/>
      <c r="J26" s="137"/>
      <c r="K26" s="137"/>
      <c r="L26" s="138" t="s">
        <v>125</v>
      </c>
      <c r="M26" s="139"/>
      <c r="N26" s="145">
        <v>0.25</v>
      </c>
      <c r="O26" s="141" t="s">
        <v>49</v>
      </c>
      <c r="P26" s="142">
        <v>18</v>
      </c>
    </row>
    <row r="27" spans="2:16" ht="14.25" customHeight="1" thickBot="1" x14ac:dyDescent="0.3">
      <c r="B27" s="153">
        <v>19.100000000000001</v>
      </c>
      <c r="C27" s="147" t="s">
        <v>129</v>
      </c>
      <c r="D27" s="144">
        <v>0.5</v>
      </c>
      <c r="E27" s="137"/>
      <c r="F27" s="137"/>
      <c r="G27" s="137"/>
      <c r="H27" s="137"/>
      <c r="I27" s="137"/>
      <c r="J27" s="136">
        <v>0.5</v>
      </c>
      <c r="K27" s="137"/>
      <c r="L27" s="138" t="s">
        <v>125</v>
      </c>
      <c r="M27" s="139"/>
      <c r="N27" s="151">
        <v>0.5</v>
      </c>
      <c r="O27" s="141" t="s">
        <v>41</v>
      </c>
      <c r="P27" s="142">
        <v>19</v>
      </c>
    </row>
    <row r="28" spans="2:16" ht="14.25" customHeight="1" thickBot="1" x14ac:dyDescent="0.3">
      <c r="B28" s="153">
        <v>19.2</v>
      </c>
      <c r="C28" s="147" t="s">
        <v>130</v>
      </c>
      <c r="D28" s="144">
        <v>0.5</v>
      </c>
      <c r="E28" s="137"/>
      <c r="F28" s="137"/>
      <c r="G28" s="137"/>
      <c r="H28" s="137"/>
      <c r="I28" s="136">
        <v>0.25</v>
      </c>
      <c r="J28" s="136">
        <v>0.25</v>
      </c>
      <c r="K28" s="137"/>
      <c r="L28" s="138" t="s">
        <v>125</v>
      </c>
      <c r="M28" s="139"/>
      <c r="N28" s="151">
        <v>0.5</v>
      </c>
      <c r="O28" s="141" t="s">
        <v>39</v>
      </c>
      <c r="P28" s="142">
        <v>19</v>
      </c>
    </row>
    <row r="29" spans="2:16" ht="14.25" customHeight="1" thickBot="1" x14ac:dyDescent="0.3">
      <c r="B29" s="153">
        <v>19.3</v>
      </c>
      <c r="C29" s="147" t="s">
        <v>131</v>
      </c>
      <c r="D29" s="144">
        <v>0.5</v>
      </c>
      <c r="E29" s="137"/>
      <c r="F29" s="137"/>
      <c r="G29" s="137"/>
      <c r="H29" s="137"/>
      <c r="I29" s="136">
        <v>0.25</v>
      </c>
      <c r="J29" s="136">
        <v>0.25</v>
      </c>
      <c r="K29" s="137"/>
      <c r="L29" s="138" t="s">
        <v>125</v>
      </c>
      <c r="M29" s="139"/>
      <c r="N29" s="151">
        <v>0.5</v>
      </c>
      <c r="O29" s="141" t="s">
        <v>44</v>
      </c>
      <c r="P29" s="142">
        <v>19</v>
      </c>
    </row>
    <row r="30" spans="2:16" ht="14.25" customHeight="1" thickBot="1" x14ac:dyDescent="0.3">
      <c r="B30" s="153">
        <v>19.399999999999999</v>
      </c>
      <c r="C30" s="147" t="s">
        <v>132</v>
      </c>
      <c r="D30" s="144">
        <v>0.5</v>
      </c>
      <c r="E30" s="137"/>
      <c r="F30" s="137"/>
      <c r="G30" s="137"/>
      <c r="H30" s="137"/>
      <c r="I30" s="137"/>
      <c r="J30" s="136">
        <v>0.5</v>
      </c>
      <c r="K30" s="137"/>
      <c r="L30" s="138" t="s">
        <v>125</v>
      </c>
      <c r="M30" s="139"/>
      <c r="N30" s="151">
        <v>0.5</v>
      </c>
      <c r="O30" s="141" t="s">
        <v>37</v>
      </c>
      <c r="P30" s="142">
        <v>19</v>
      </c>
    </row>
    <row r="31" spans="2:16" ht="14.25" customHeight="1" thickBot="1" x14ac:dyDescent="0.3">
      <c r="B31" s="153">
        <v>19.5</v>
      </c>
      <c r="C31" s="147" t="s">
        <v>133</v>
      </c>
      <c r="D31" s="144">
        <v>0.5</v>
      </c>
      <c r="E31" s="137"/>
      <c r="F31" s="137"/>
      <c r="G31" s="137"/>
      <c r="H31" s="137"/>
      <c r="I31" s="137"/>
      <c r="J31" s="136">
        <v>0.5</v>
      </c>
      <c r="K31" s="137"/>
      <c r="L31" s="138" t="s">
        <v>125</v>
      </c>
      <c r="M31" s="139"/>
      <c r="N31" s="151">
        <v>0.5</v>
      </c>
      <c r="O31" s="141" t="s">
        <v>47</v>
      </c>
      <c r="P31" s="142">
        <v>19</v>
      </c>
    </row>
    <row r="32" spans="2:16" ht="14.25" customHeight="1" thickBot="1" x14ac:dyDescent="0.3">
      <c r="B32" s="153">
        <v>19.600000000000001</v>
      </c>
      <c r="C32" s="147" t="s">
        <v>134</v>
      </c>
      <c r="D32" s="144">
        <v>0.5</v>
      </c>
      <c r="E32" s="137"/>
      <c r="F32" s="137"/>
      <c r="G32" s="137"/>
      <c r="H32" s="137"/>
      <c r="I32" s="137"/>
      <c r="J32" s="136">
        <v>0.5</v>
      </c>
      <c r="K32" s="137"/>
      <c r="L32" s="138" t="s">
        <v>125</v>
      </c>
      <c r="M32" s="139"/>
      <c r="N32" s="151">
        <v>0.5</v>
      </c>
      <c r="O32" s="141" t="s">
        <v>49</v>
      </c>
      <c r="P32" s="142">
        <v>19</v>
      </c>
    </row>
    <row r="33" spans="2:16" ht="14.25" customHeight="1" thickBot="1" x14ac:dyDescent="0.3">
      <c r="B33" s="153">
        <v>20.100000000000001</v>
      </c>
      <c r="C33" s="143" t="s">
        <v>135</v>
      </c>
      <c r="D33" s="144">
        <v>0.5</v>
      </c>
      <c r="E33" s="137"/>
      <c r="F33" s="137"/>
      <c r="G33" s="137"/>
      <c r="H33" s="137"/>
      <c r="I33" s="137"/>
      <c r="J33" s="136">
        <v>0.5</v>
      </c>
      <c r="K33" s="137"/>
      <c r="L33" s="138" t="s">
        <v>125</v>
      </c>
      <c r="M33" s="139"/>
      <c r="N33" s="151">
        <v>0.5</v>
      </c>
      <c r="O33" s="141" t="s">
        <v>41</v>
      </c>
      <c r="P33" s="142">
        <v>20</v>
      </c>
    </row>
    <row r="34" spans="2:16" ht="14.25" customHeight="1" thickBot="1" x14ac:dyDescent="0.3">
      <c r="B34" s="153">
        <v>20.2</v>
      </c>
      <c r="C34" s="143" t="s">
        <v>136</v>
      </c>
      <c r="D34" s="144">
        <v>0.5</v>
      </c>
      <c r="E34" s="137"/>
      <c r="F34" s="137"/>
      <c r="G34" s="137"/>
      <c r="H34" s="137"/>
      <c r="I34" s="137"/>
      <c r="J34" s="136">
        <v>0.5</v>
      </c>
      <c r="K34" s="137"/>
      <c r="L34" s="138" t="s">
        <v>125</v>
      </c>
      <c r="M34" s="139"/>
      <c r="N34" s="151">
        <v>0.5</v>
      </c>
      <c r="O34" s="141" t="s">
        <v>39</v>
      </c>
      <c r="P34" s="142">
        <v>20</v>
      </c>
    </row>
    <row r="35" spans="2:16" ht="14.25" customHeight="1" thickBot="1" x14ac:dyDescent="0.3">
      <c r="B35" s="153">
        <v>20.3</v>
      </c>
      <c r="C35" s="143" t="s">
        <v>137</v>
      </c>
      <c r="D35" s="144">
        <v>0.5</v>
      </c>
      <c r="E35" s="137"/>
      <c r="F35" s="137"/>
      <c r="G35" s="137"/>
      <c r="H35" s="137"/>
      <c r="I35" s="137"/>
      <c r="J35" s="136">
        <v>0.5</v>
      </c>
      <c r="K35" s="137"/>
      <c r="L35" s="138" t="s">
        <v>125</v>
      </c>
      <c r="M35" s="139"/>
      <c r="N35" s="151">
        <v>0.5</v>
      </c>
      <c r="O35" s="141" t="s">
        <v>44</v>
      </c>
      <c r="P35" s="142">
        <v>20</v>
      </c>
    </row>
    <row r="36" spans="2:16" ht="14.25" customHeight="1" thickBot="1" x14ac:dyDescent="0.3">
      <c r="B36" s="153">
        <v>20.399999999999999</v>
      </c>
      <c r="C36" s="143" t="s">
        <v>138</v>
      </c>
      <c r="D36" s="144">
        <v>0.5</v>
      </c>
      <c r="E36" s="137"/>
      <c r="F36" s="137"/>
      <c r="G36" s="137"/>
      <c r="H36" s="137"/>
      <c r="I36" s="137"/>
      <c r="J36" s="136">
        <v>0.5</v>
      </c>
      <c r="K36" s="137"/>
      <c r="L36" s="138" t="s">
        <v>125</v>
      </c>
      <c r="M36" s="139"/>
      <c r="N36" s="151">
        <v>0.5</v>
      </c>
      <c r="O36" s="141" t="s">
        <v>37</v>
      </c>
      <c r="P36" s="142">
        <v>20</v>
      </c>
    </row>
    <row r="37" spans="2:16" ht="14.25" customHeight="1" thickBot="1" x14ac:dyDescent="0.3">
      <c r="B37" s="153">
        <v>20.5</v>
      </c>
      <c r="C37" s="143" t="s">
        <v>139</v>
      </c>
      <c r="D37" s="144">
        <v>0.5</v>
      </c>
      <c r="E37" s="137"/>
      <c r="F37" s="137"/>
      <c r="G37" s="137"/>
      <c r="H37" s="137"/>
      <c r="I37" s="137"/>
      <c r="J37" s="136">
        <v>0.5</v>
      </c>
      <c r="K37" s="137"/>
      <c r="L37" s="138" t="s">
        <v>125</v>
      </c>
      <c r="M37" s="139"/>
      <c r="N37" s="151">
        <v>0.5</v>
      </c>
      <c r="O37" s="141" t="s">
        <v>47</v>
      </c>
      <c r="P37" s="142">
        <v>20</v>
      </c>
    </row>
    <row r="38" spans="2:16" ht="14.25" customHeight="1" thickBot="1" x14ac:dyDescent="0.3">
      <c r="B38" s="153">
        <v>20.6</v>
      </c>
      <c r="C38" s="143" t="s">
        <v>140</v>
      </c>
      <c r="D38" s="144">
        <v>0.5</v>
      </c>
      <c r="E38" s="137"/>
      <c r="F38" s="137"/>
      <c r="G38" s="137"/>
      <c r="H38" s="137"/>
      <c r="I38" s="137"/>
      <c r="J38" s="136">
        <v>0.5</v>
      </c>
      <c r="K38" s="137"/>
      <c r="L38" s="138" t="s">
        <v>125</v>
      </c>
      <c r="M38" s="139"/>
      <c r="N38" s="151">
        <v>0.5</v>
      </c>
      <c r="O38" s="141" t="s">
        <v>49</v>
      </c>
      <c r="P38" s="142">
        <v>20</v>
      </c>
    </row>
    <row r="39" spans="2:16" ht="14.25" customHeight="1" thickBot="1" x14ac:dyDescent="0.3">
      <c r="B39" s="153">
        <v>21.1</v>
      </c>
      <c r="C39" s="147" t="s">
        <v>141</v>
      </c>
      <c r="D39" s="144">
        <v>0.5</v>
      </c>
      <c r="E39" s="137"/>
      <c r="F39" s="137"/>
      <c r="G39" s="137"/>
      <c r="H39" s="136">
        <v>0.5</v>
      </c>
      <c r="I39" s="137"/>
      <c r="J39" s="137"/>
      <c r="K39" s="137"/>
      <c r="L39" s="138" t="s">
        <v>125</v>
      </c>
      <c r="M39" s="139"/>
      <c r="N39" s="151">
        <v>0.5</v>
      </c>
      <c r="O39" s="141" t="s">
        <v>41</v>
      </c>
      <c r="P39" s="142">
        <v>21</v>
      </c>
    </row>
    <row r="40" spans="2:16" ht="14.25" customHeight="1" thickBot="1" x14ac:dyDescent="0.3">
      <c r="B40" s="153">
        <v>21.2</v>
      </c>
      <c r="C40" s="147" t="s">
        <v>142</v>
      </c>
      <c r="D40" s="144">
        <v>0.5</v>
      </c>
      <c r="E40" s="137"/>
      <c r="F40" s="137"/>
      <c r="G40" s="136">
        <v>0.25</v>
      </c>
      <c r="H40" s="136">
        <v>0.25</v>
      </c>
      <c r="I40" s="137"/>
      <c r="J40" s="137"/>
      <c r="K40" s="137"/>
      <c r="L40" s="138" t="s">
        <v>125</v>
      </c>
      <c r="M40" s="139"/>
      <c r="N40" s="151">
        <v>0.5</v>
      </c>
      <c r="O40" s="141" t="s">
        <v>39</v>
      </c>
      <c r="P40" s="142">
        <v>21</v>
      </c>
    </row>
    <row r="41" spans="2:16" ht="14.25" customHeight="1" thickBot="1" x14ac:dyDescent="0.3">
      <c r="B41" s="153">
        <v>21.3</v>
      </c>
      <c r="C41" s="147" t="s">
        <v>143</v>
      </c>
      <c r="D41" s="144">
        <v>0.5</v>
      </c>
      <c r="E41" s="137"/>
      <c r="F41" s="137"/>
      <c r="G41" s="136">
        <v>0.25</v>
      </c>
      <c r="H41" s="136">
        <v>0.25</v>
      </c>
      <c r="I41" s="137"/>
      <c r="J41" s="137"/>
      <c r="K41" s="137"/>
      <c r="L41" s="138" t="s">
        <v>125</v>
      </c>
      <c r="M41" s="139"/>
      <c r="N41" s="151">
        <v>0.5</v>
      </c>
      <c r="O41" s="141" t="s">
        <v>44</v>
      </c>
      <c r="P41" s="142">
        <v>21</v>
      </c>
    </row>
    <row r="42" spans="2:16" ht="14.25" customHeight="1" thickBot="1" x14ac:dyDescent="0.3">
      <c r="B42" s="153">
        <v>21.4</v>
      </c>
      <c r="C42" s="147" t="s">
        <v>144</v>
      </c>
      <c r="D42" s="144">
        <v>0.5</v>
      </c>
      <c r="E42" s="137"/>
      <c r="F42" s="137"/>
      <c r="G42" s="137"/>
      <c r="H42" s="136">
        <v>0.5</v>
      </c>
      <c r="I42" s="137"/>
      <c r="J42" s="137"/>
      <c r="K42" s="137"/>
      <c r="L42" s="138" t="s">
        <v>125</v>
      </c>
      <c r="M42" s="139"/>
      <c r="N42" s="151">
        <v>0.5</v>
      </c>
      <c r="O42" s="141" t="s">
        <v>37</v>
      </c>
      <c r="P42" s="142">
        <v>21</v>
      </c>
    </row>
    <row r="43" spans="2:16" ht="14.25" customHeight="1" thickBot="1" x14ac:dyDescent="0.3">
      <c r="B43" s="153">
        <v>21.5</v>
      </c>
      <c r="C43" s="147" t="s">
        <v>145</v>
      </c>
      <c r="D43" s="144">
        <v>0.5</v>
      </c>
      <c r="E43" s="137"/>
      <c r="F43" s="137"/>
      <c r="G43" s="137"/>
      <c r="H43" s="136">
        <v>0.5</v>
      </c>
      <c r="I43" s="137"/>
      <c r="J43" s="137"/>
      <c r="K43" s="137"/>
      <c r="L43" s="138" t="s">
        <v>125</v>
      </c>
      <c r="M43" s="139"/>
      <c r="N43" s="151">
        <v>0.5</v>
      </c>
      <c r="O43" s="141" t="s">
        <v>47</v>
      </c>
      <c r="P43" s="142">
        <v>21</v>
      </c>
    </row>
    <row r="44" spans="2:16" ht="14.25" customHeight="1" thickBot="1" x14ac:dyDescent="0.3">
      <c r="B44" s="153">
        <v>21.6</v>
      </c>
      <c r="C44" s="147" t="s">
        <v>146</v>
      </c>
      <c r="D44" s="144">
        <v>0.5</v>
      </c>
      <c r="E44" s="137"/>
      <c r="F44" s="137"/>
      <c r="G44" s="137"/>
      <c r="H44" s="136">
        <v>0.5</v>
      </c>
      <c r="I44" s="137"/>
      <c r="J44" s="137"/>
      <c r="K44" s="137"/>
      <c r="L44" s="138" t="s">
        <v>125</v>
      </c>
      <c r="M44" s="139"/>
      <c r="N44" s="151">
        <v>0.5</v>
      </c>
      <c r="O44" s="141" t="s">
        <v>49</v>
      </c>
      <c r="P44" s="142">
        <v>21</v>
      </c>
    </row>
    <row r="45" spans="2:16" ht="14.25" customHeight="1" thickBot="1" x14ac:dyDescent="0.3">
      <c r="B45" s="153">
        <v>22.1</v>
      </c>
      <c r="C45" s="143" t="s">
        <v>147</v>
      </c>
      <c r="D45" s="144">
        <v>0.5</v>
      </c>
      <c r="E45" s="137"/>
      <c r="F45" s="137"/>
      <c r="G45" s="137"/>
      <c r="H45" s="136">
        <v>0.15</v>
      </c>
      <c r="I45" s="136">
        <v>0.25</v>
      </c>
      <c r="J45" s="136">
        <v>0.1</v>
      </c>
      <c r="K45" s="137"/>
      <c r="L45" s="138" t="s">
        <v>125</v>
      </c>
      <c r="M45" s="139"/>
      <c r="N45" s="151">
        <v>0.5</v>
      </c>
      <c r="O45" s="141" t="s">
        <v>41</v>
      </c>
      <c r="P45" s="142">
        <v>22</v>
      </c>
    </row>
    <row r="46" spans="2:16" ht="14.25" customHeight="1" thickBot="1" x14ac:dyDescent="0.3">
      <c r="B46" s="153">
        <v>22.2</v>
      </c>
      <c r="C46" s="143" t="s">
        <v>148</v>
      </c>
      <c r="D46" s="144">
        <v>0.5</v>
      </c>
      <c r="E46" s="137"/>
      <c r="F46" s="137"/>
      <c r="G46" s="136">
        <v>0.2</v>
      </c>
      <c r="H46" s="136">
        <v>0.2</v>
      </c>
      <c r="I46" s="136">
        <v>0.1</v>
      </c>
      <c r="J46" s="137"/>
      <c r="K46" s="137"/>
      <c r="L46" s="138" t="s">
        <v>125</v>
      </c>
      <c r="M46" s="139"/>
      <c r="N46" s="151">
        <v>0.5</v>
      </c>
      <c r="O46" s="141" t="s">
        <v>39</v>
      </c>
      <c r="P46" s="142">
        <v>22</v>
      </c>
    </row>
    <row r="47" spans="2:16" ht="14.25" customHeight="1" thickBot="1" x14ac:dyDescent="0.3">
      <c r="B47" s="153">
        <v>22.3</v>
      </c>
      <c r="C47" s="143" t="s">
        <v>149</v>
      </c>
      <c r="D47" s="144">
        <v>0.5</v>
      </c>
      <c r="E47" s="137"/>
      <c r="F47" s="136">
        <v>0</v>
      </c>
      <c r="G47" s="136">
        <v>0.2</v>
      </c>
      <c r="H47" s="136">
        <v>0.3</v>
      </c>
      <c r="I47" s="137"/>
      <c r="J47" s="137"/>
      <c r="K47" s="137"/>
      <c r="L47" s="138" t="s">
        <v>125</v>
      </c>
      <c r="M47" s="139"/>
      <c r="N47" s="151">
        <v>0.5</v>
      </c>
      <c r="O47" s="141" t="s">
        <v>44</v>
      </c>
      <c r="P47" s="142">
        <v>22</v>
      </c>
    </row>
    <row r="48" spans="2:16" ht="14.25" customHeight="1" thickBot="1" x14ac:dyDescent="0.3">
      <c r="B48" s="153">
        <v>22.4</v>
      </c>
      <c r="C48" s="143" t="s">
        <v>150</v>
      </c>
      <c r="D48" s="144">
        <v>0.5</v>
      </c>
      <c r="E48" s="137"/>
      <c r="F48" s="137"/>
      <c r="G48" s="137"/>
      <c r="H48" s="136">
        <v>0.1</v>
      </c>
      <c r="I48" s="136">
        <v>0.4</v>
      </c>
      <c r="J48" s="137"/>
      <c r="K48" s="137"/>
      <c r="L48" s="138" t="s">
        <v>125</v>
      </c>
      <c r="M48" s="139"/>
      <c r="N48" s="151">
        <v>0.5</v>
      </c>
      <c r="O48" s="141" t="s">
        <v>37</v>
      </c>
      <c r="P48" s="142">
        <v>22</v>
      </c>
    </row>
    <row r="49" spans="2:16" ht="14.25" customHeight="1" thickBot="1" x14ac:dyDescent="0.3">
      <c r="B49" s="153">
        <v>22.5</v>
      </c>
      <c r="C49" s="143" t="s">
        <v>151</v>
      </c>
      <c r="D49" s="144">
        <v>0.5</v>
      </c>
      <c r="E49" s="137"/>
      <c r="F49" s="137"/>
      <c r="G49" s="137"/>
      <c r="H49" s="137"/>
      <c r="I49" s="136">
        <v>0.25</v>
      </c>
      <c r="J49" s="136">
        <v>0.25</v>
      </c>
      <c r="K49" s="137"/>
      <c r="L49" s="138" t="s">
        <v>125</v>
      </c>
      <c r="M49" s="139"/>
      <c r="N49" s="151">
        <v>0.5</v>
      </c>
      <c r="O49" s="141" t="s">
        <v>47</v>
      </c>
      <c r="P49" s="142">
        <v>22</v>
      </c>
    </row>
    <row r="50" spans="2:16" ht="14.25" customHeight="1" thickBot="1" x14ac:dyDescent="0.3">
      <c r="B50" s="154">
        <v>22.6</v>
      </c>
      <c r="C50" s="155" t="s">
        <v>152</v>
      </c>
      <c r="D50" s="135">
        <v>0.5</v>
      </c>
      <c r="E50" s="156"/>
      <c r="F50" s="156"/>
      <c r="G50" s="156"/>
      <c r="H50" s="156"/>
      <c r="I50" s="156"/>
      <c r="J50" s="157">
        <v>0.5</v>
      </c>
      <c r="K50" s="156"/>
      <c r="L50" s="138" t="s">
        <v>125</v>
      </c>
      <c r="M50" s="139"/>
      <c r="N50" s="151">
        <v>0.5</v>
      </c>
      <c r="O50" s="141" t="s">
        <v>49</v>
      </c>
      <c r="P50" s="142">
        <v>22</v>
      </c>
    </row>
    <row r="51" spans="2:16" ht="14.25" customHeight="1" thickTop="1" thickBot="1" x14ac:dyDescent="0.3">
      <c r="B51" s="158" t="s">
        <v>24</v>
      </c>
      <c r="C51" s="159"/>
      <c r="D51" s="160">
        <v>0</v>
      </c>
      <c r="E51" s="161">
        <v>3.05</v>
      </c>
      <c r="F51" s="161">
        <v>1.65</v>
      </c>
      <c r="G51" s="161">
        <v>1.75</v>
      </c>
      <c r="H51" s="161">
        <v>3.4</v>
      </c>
      <c r="I51" s="161">
        <v>1.5</v>
      </c>
      <c r="J51" s="161">
        <v>6.35</v>
      </c>
      <c r="K51" s="161">
        <v>0</v>
      </c>
      <c r="L51" s="162"/>
      <c r="M51" s="141"/>
    </row>
    <row r="52" spans="2:16" ht="14.25" customHeight="1" thickBot="1" x14ac:dyDescent="0.3">
      <c r="B52" s="163" t="s">
        <v>25</v>
      </c>
      <c r="C52" s="164"/>
      <c r="D52" s="165">
        <v>17.7</v>
      </c>
      <c r="E52" s="166">
        <v>14.7</v>
      </c>
      <c r="F52" s="166">
        <v>13</v>
      </c>
      <c r="G52" s="166">
        <v>11.3</v>
      </c>
      <c r="H52" s="166">
        <v>7.9</v>
      </c>
      <c r="I52" s="166">
        <v>6.4</v>
      </c>
      <c r="J52" s="166">
        <v>0</v>
      </c>
      <c r="K52" s="166">
        <v>0</v>
      </c>
      <c r="L52" s="162"/>
      <c r="M52" s="141"/>
    </row>
    <row r="53" spans="2:16" ht="14.25" customHeight="1" thickBot="1" x14ac:dyDescent="0.3">
      <c r="B53" s="167" t="s">
        <v>153</v>
      </c>
      <c r="C53" s="168"/>
      <c r="D53" s="169">
        <v>17.7</v>
      </c>
      <c r="E53" s="169">
        <v>15.2</v>
      </c>
      <c r="F53" s="169">
        <v>12.6</v>
      </c>
      <c r="G53" s="169">
        <v>10.1</v>
      </c>
      <c r="H53" s="169">
        <v>7.6</v>
      </c>
      <c r="I53" s="169">
        <v>5.0999999999999996</v>
      </c>
      <c r="J53" s="169">
        <v>2.5</v>
      </c>
      <c r="K53" s="170">
        <v>0</v>
      </c>
    </row>
    <row r="54" spans="2:16" ht="14.25" customHeight="1" thickTop="1" x14ac:dyDescent="0.25"/>
    <row r="55" spans="2:16" ht="14.25" customHeight="1" x14ac:dyDescent="0.25"/>
    <row r="56" spans="2:16" ht="14.25" customHeight="1" x14ac:dyDescent="0.25"/>
    <row r="57" spans="2:16" ht="14.25" customHeight="1" x14ac:dyDescent="0.25"/>
    <row r="58" spans="2:16" ht="14.25" customHeight="1" x14ac:dyDescent="0.25"/>
    <row r="59" spans="2:16" ht="14.25" customHeight="1" x14ac:dyDescent="0.25"/>
    <row r="60" spans="2:16" ht="14.25" customHeight="1" x14ac:dyDescent="0.25"/>
    <row r="61" spans="2:16" ht="14.25" customHeight="1" x14ac:dyDescent="0.25"/>
    <row r="62" spans="2:16" ht="14.25" customHeight="1" x14ac:dyDescent="0.25"/>
    <row r="63" spans="2:16" ht="14.25" customHeight="1" x14ac:dyDescent="0.25"/>
    <row r="64" spans="2:16" ht="14.25" customHeight="1" x14ac:dyDescent="0.25"/>
    <row r="65" customFormat="1" ht="14.25" customHeight="1" x14ac:dyDescent="0.25"/>
    <row r="66" customFormat="1" ht="14.25" customHeight="1" x14ac:dyDescent="0.25"/>
    <row r="67" customFormat="1" ht="14.25" customHeight="1" x14ac:dyDescent="0.25"/>
    <row r="68" customFormat="1" ht="14.25" customHeight="1" x14ac:dyDescent="0.25"/>
    <row r="69" customFormat="1" ht="14.25" customHeight="1" x14ac:dyDescent="0.25"/>
    <row r="70" customFormat="1" ht="14.25" customHeight="1" x14ac:dyDescent="0.25"/>
    <row r="71" customFormat="1" ht="14.25" customHeight="1" x14ac:dyDescent="0.25"/>
    <row r="72" customFormat="1" ht="14.25" customHeight="1" x14ac:dyDescent="0.25"/>
    <row r="73" customFormat="1" ht="14.25" customHeight="1" x14ac:dyDescent="0.25"/>
    <row r="74" customFormat="1" ht="14.25" customHeight="1" x14ac:dyDescent="0.25"/>
    <row r="75" customFormat="1" ht="14.25" customHeight="1" x14ac:dyDescent="0.25"/>
    <row r="76" customFormat="1" ht="14.25" customHeight="1" x14ac:dyDescent="0.25"/>
    <row r="77" customFormat="1" ht="14.25" customHeight="1" x14ac:dyDescent="0.25"/>
    <row r="78" customFormat="1" ht="14.25" customHeight="1" x14ac:dyDescent="0.25"/>
    <row r="79" customFormat="1" ht="14.25" customHeight="1" x14ac:dyDescent="0.25"/>
    <row r="80" customFormat="1" ht="14.25" customHeight="1" x14ac:dyDescent="0.25"/>
    <row r="81" customFormat="1" ht="14.25" customHeight="1" x14ac:dyDescent="0.25"/>
    <row r="82" customFormat="1" ht="14.25" customHeight="1" x14ac:dyDescent="0.25"/>
    <row r="83" customFormat="1" ht="14.25" customHeight="1" x14ac:dyDescent="0.25"/>
    <row r="84" customFormat="1" ht="14.25" customHeight="1" x14ac:dyDescent="0.25"/>
    <row r="85" customFormat="1" ht="14.25" customHeight="1" x14ac:dyDescent="0.25"/>
    <row r="86" customFormat="1" ht="14.25" customHeight="1" x14ac:dyDescent="0.25"/>
    <row r="87" customFormat="1" ht="14.25" customHeight="1" x14ac:dyDescent="0.25"/>
    <row r="88" customFormat="1" ht="14.25" customHeight="1" x14ac:dyDescent="0.25"/>
    <row r="89" customFormat="1" ht="14.25" customHeight="1" x14ac:dyDescent="0.25"/>
    <row r="90" customFormat="1" ht="14.25" customHeight="1" x14ac:dyDescent="0.25"/>
    <row r="91" customFormat="1" ht="14.25" customHeight="1" x14ac:dyDescent="0.25"/>
    <row r="92" customFormat="1" ht="14.25" customHeight="1" x14ac:dyDescent="0.25"/>
    <row r="93" customFormat="1" ht="14.25" customHeight="1" x14ac:dyDescent="0.25"/>
    <row r="94" customFormat="1" ht="14.25" customHeight="1" x14ac:dyDescent="0.25"/>
    <row r="95" customFormat="1" ht="14.25" customHeight="1" x14ac:dyDescent="0.25"/>
    <row r="96" customFormat="1" ht="14.25" customHeight="1" x14ac:dyDescent="0.25"/>
    <row r="97" customFormat="1" ht="14.25" customHeight="1" x14ac:dyDescent="0.25"/>
    <row r="98" customFormat="1" ht="14.25" customHeight="1" x14ac:dyDescent="0.25"/>
    <row r="99" customFormat="1" ht="14.25" customHeight="1" x14ac:dyDescent="0.25"/>
    <row r="100" customFormat="1" ht="14.25" customHeight="1" x14ac:dyDescent="0.25"/>
    <row r="101" customFormat="1" ht="14.25" customHeight="1" x14ac:dyDescent="0.25"/>
    <row r="102" customFormat="1" ht="14.25" customHeight="1" x14ac:dyDescent="0.25"/>
    <row r="103" customFormat="1" ht="14.25" customHeight="1" x14ac:dyDescent="0.25"/>
    <row r="104" customFormat="1" ht="14.25" customHeight="1" x14ac:dyDescent="0.25"/>
    <row r="105" customFormat="1" ht="14.25" customHeight="1" x14ac:dyDescent="0.25"/>
    <row r="106" customFormat="1" ht="14.25" customHeight="1" x14ac:dyDescent="0.25"/>
    <row r="107" customFormat="1" ht="14.25" customHeight="1" x14ac:dyDescent="0.25"/>
    <row r="108" customFormat="1" ht="14.25" customHeight="1" x14ac:dyDescent="0.25"/>
    <row r="109" customFormat="1" ht="14.25" customHeight="1" x14ac:dyDescent="0.25"/>
    <row r="110" customFormat="1" ht="14.25" customHeight="1" x14ac:dyDescent="0.25"/>
    <row r="111" customFormat="1" ht="14.25" customHeight="1" x14ac:dyDescent="0.25"/>
    <row r="112" customFormat="1" ht="14.25" customHeight="1" x14ac:dyDescent="0.25"/>
    <row r="113" customFormat="1" ht="14.25" customHeight="1" x14ac:dyDescent="0.25"/>
    <row r="114" customFormat="1" ht="14.25" customHeight="1" x14ac:dyDescent="0.25"/>
    <row r="115" customFormat="1" ht="14.25" customHeight="1" x14ac:dyDescent="0.25"/>
    <row r="116" customFormat="1" ht="14.25" customHeight="1" x14ac:dyDescent="0.25"/>
    <row r="117" customFormat="1" ht="14.25" customHeight="1" x14ac:dyDescent="0.25"/>
    <row r="118" customFormat="1" ht="14.25" customHeight="1" x14ac:dyDescent="0.25"/>
    <row r="119" customFormat="1" ht="14.25" customHeight="1" x14ac:dyDescent="0.25"/>
    <row r="120" customFormat="1" ht="14.25" customHeight="1" x14ac:dyDescent="0.25"/>
    <row r="121" customFormat="1" ht="14.25" customHeight="1" x14ac:dyDescent="0.25"/>
    <row r="122" customFormat="1" ht="14.25" customHeight="1" x14ac:dyDescent="0.25"/>
    <row r="123" customFormat="1" ht="14.25" customHeight="1" x14ac:dyDescent="0.25"/>
    <row r="124" customFormat="1" ht="14.25" customHeight="1" x14ac:dyDescent="0.25"/>
    <row r="125" customFormat="1" ht="14.25" customHeight="1" x14ac:dyDescent="0.25"/>
    <row r="126" customFormat="1" ht="14.25" customHeight="1" x14ac:dyDescent="0.25"/>
    <row r="127" customFormat="1" ht="14.25" customHeight="1" x14ac:dyDescent="0.25"/>
    <row r="128" customFormat="1" ht="14.25" customHeight="1" x14ac:dyDescent="0.25"/>
    <row r="129" customFormat="1" ht="14.25" customHeight="1" x14ac:dyDescent="0.25"/>
    <row r="130" customFormat="1" ht="14.25" customHeight="1" x14ac:dyDescent="0.25"/>
    <row r="131" customFormat="1" ht="14.25" customHeight="1" x14ac:dyDescent="0.25"/>
    <row r="132" customFormat="1" ht="14.25" customHeight="1" x14ac:dyDescent="0.25"/>
    <row r="133" customFormat="1" ht="14.25" customHeight="1" x14ac:dyDescent="0.25"/>
    <row r="134" customFormat="1" ht="14.25" customHeight="1" x14ac:dyDescent="0.25"/>
    <row r="135" customFormat="1" ht="14.25" customHeight="1" x14ac:dyDescent="0.25"/>
    <row r="136" customFormat="1" ht="14.25" customHeight="1" x14ac:dyDescent="0.25"/>
    <row r="137" customFormat="1" ht="14.25" customHeight="1" x14ac:dyDescent="0.25"/>
    <row r="138" customFormat="1" ht="14.25" customHeight="1" x14ac:dyDescent="0.25"/>
    <row r="139" customFormat="1" ht="14.25" customHeight="1" x14ac:dyDescent="0.25"/>
    <row r="140" customFormat="1" ht="14.25" customHeight="1" x14ac:dyDescent="0.25"/>
    <row r="141" customFormat="1" ht="14.25" customHeight="1" x14ac:dyDescent="0.25"/>
    <row r="142" customFormat="1" ht="14.25" customHeight="1" x14ac:dyDescent="0.25"/>
    <row r="143" customFormat="1" ht="14.25" customHeight="1" x14ac:dyDescent="0.25"/>
    <row r="144" customFormat="1" ht="14.25" customHeight="1" x14ac:dyDescent="0.25"/>
    <row r="145" customFormat="1" ht="14.25" customHeight="1" x14ac:dyDescent="0.25"/>
    <row r="146" customFormat="1" ht="14.25" customHeight="1" x14ac:dyDescent="0.25"/>
    <row r="147" customFormat="1" ht="14.25" customHeight="1" x14ac:dyDescent="0.25"/>
    <row r="148" customFormat="1" ht="14.25" customHeight="1" x14ac:dyDescent="0.25"/>
    <row r="149" customFormat="1" ht="14.25" customHeight="1" x14ac:dyDescent="0.25"/>
    <row r="150" customFormat="1" ht="14.25" customHeight="1" x14ac:dyDescent="0.25"/>
    <row r="151" customFormat="1" ht="14.25" customHeight="1" x14ac:dyDescent="0.25"/>
    <row r="152" customFormat="1" ht="14.25" customHeight="1" x14ac:dyDescent="0.25"/>
    <row r="153" customFormat="1" ht="14.25" customHeight="1" x14ac:dyDescent="0.25"/>
    <row r="154" customFormat="1" ht="14.25" customHeight="1" x14ac:dyDescent="0.25"/>
    <row r="155" customFormat="1" ht="14.25" customHeight="1" x14ac:dyDescent="0.25"/>
    <row r="156" customFormat="1" ht="14.25" customHeight="1" x14ac:dyDescent="0.25"/>
    <row r="157" customFormat="1" ht="14.25" customHeight="1" x14ac:dyDescent="0.25"/>
    <row r="158" customFormat="1" ht="14.25" customHeight="1" x14ac:dyDescent="0.25"/>
    <row r="159" customFormat="1" ht="14.25" customHeight="1" x14ac:dyDescent="0.25"/>
    <row r="160" customFormat="1" ht="14.25" customHeight="1" x14ac:dyDescent="0.25"/>
    <row r="161" customFormat="1" ht="14.25" customHeight="1" x14ac:dyDescent="0.25"/>
    <row r="162" customFormat="1" ht="14.25" customHeight="1" x14ac:dyDescent="0.25"/>
    <row r="163" customFormat="1" ht="14.25" customHeight="1" x14ac:dyDescent="0.25"/>
    <row r="164" customFormat="1" ht="14.25" customHeight="1" x14ac:dyDescent="0.25"/>
    <row r="165" customFormat="1" ht="14.25" customHeight="1" x14ac:dyDescent="0.25"/>
    <row r="166" customFormat="1" ht="14.25" customHeight="1" x14ac:dyDescent="0.25"/>
    <row r="167" customFormat="1" ht="14.25" customHeight="1" x14ac:dyDescent="0.25"/>
    <row r="168" customFormat="1" ht="14.25" customHeight="1" x14ac:dyDescent="0.25"/>
    <row r="169" customFormat="1" ht="14.25" customHeight="1" x14ac:dyDescent="0.25"/>
    <row r="170" customFormat="1" ht="14.25" customHeight="1" x14ac:dyDescent="0.25"/>
    <row r="171" customFormat="1" ht="14.25" customHeight="1" x14ac:dyDescent="0.25"/>
    <row r="172" customFormat="1" ht="14.25" customHeight="1" x14ac:dyDescent="0.25"/>
    <row r="173" customFormat="1" ht="14.25" customHeight="1" x14ac:dyDescent="0.25"/>
    <row r="174" customFormat="1" ht="14.25" customHeight="1" x14ac:dyDescent="0.25"/>
    <row r="175" customFormat="1" ht="14.25" customHeight="1" x14ac:dyDescent="0.25"/>
    <row r="176" customFormat="1" ht="14.25" customHeight="1" x14ac:dyDescent="0.25"/>
    <row r="177" customFormat="1" ht="14.25" customHeight="1" x14ac:dyDescent="0.25"/>
    <row r="178" customFormat="1" ht="14.25" customHeight="1" x14ac:dyDescent="0.25"/>
    <row r="179" customFormat="1" ht="14.25" customHeight="1" x14ac:dyDescent="0.25"/>
    <row r="180" customFormat="1" ht="14.25" customHeight="1" x14ac:dyDescent="0.25"/>
    <row r="181" customFormat="1" ht="14.25" customHeight="1" x14ac:dyDescent="0.25"/>
    <row r="182" customFormat="1" ht="14.25" customHeight="1" x14ac:dyDescent="0.25"/>
    <row r="183" customFormat="1" ht="14.25" customHeight="1" x14ac:dyDescent="0.25"/>
    <row r="184" customFormat="1" ht="14.25" customHeight="1" x14ac:dyDescent="0.25"/>
    <row r="185" customFormat="1" ht="14.25" customHeight="1" x14ac:dyDescent="0.25"/>
    <row r="186" customFormat="1" ht="14.25" customHeight="1" x14ac:dyDescent="0.25"/>
    <row r="187" customFormat="1" ht="14.25" customHeight="1" x14ac:dyDescent="0.25"/>
    <row r="188" customFormat="1" ht="14.25" customHeight="1" x14ac:dyDescent="0.25"/>
    <row r="189" customFormat="1" ht="14.25" customHeight="1" x14ac:dyDescent="0.25"/>
    <row r="190" customFormat="1" ht="14.25" customHeight="1" x14ac:dyDescent="0.25"/>
    <row r="191" customFormat="1" ht="14.25" customHeight="1" x14ac:dyDescent="0.25"/>
    <row r="192" customFormat="1" ht="14.25" customHeight="1" x14ac:dyDescent="0.25"/>
    <row r="193" customFormat="1" ht="14.25" customHeight="1" x14ac:dyDescent="0.25"/>
    <row r="194" customFormat="1" ht="14.25" customHeight="1" x14ac:dyDescent="0.25"/>
    <row r="195" customFormat="1" ht="14.25" customHeight="1" x14ac:dyDescent="0.25"/>
    <row r="196" customFormat="1" ht="14.25" customHeight="1" x14ac:dyDescent="0.25"/>
    <row r="197" customFormat="1" ht="14.25" customHeight="1" x14ac:dyDescent="0.25"/>
    <row r="198" customFormat="1" ht="14.25" customHeight="1" x14ac:dyDescent="0.25"/>
    <row r="199" customFormat="1" ht="14.25" customHeight="1" x14ac:dyDescent="0.25"/>
    <row r="200" customFormat="1" ht="14.25" customHeight="1" x14ac:dyDescent="0.25"/>
    <row r="201" customFormat="1" ht="14.25" customHeight="1" x14ac:dyDescent="0.25"/>
    <row r="202" customFormat="1" ht="14.25" customHeight="1" x14ac:dyDescent="0.25"/>
    <row r="203" customFormat="1" ht="14.25" customHeight="1" x14ac:dyDescent="0.25"/>
    <row r="204" customFormat="1" ht="14.25" customHeight="1" x14ac:dyDescent="0.25"/>
    <row r="205" customFormat="1" ht="14.25" customHeight="1" x14ac:dyDescent="0.25"/>
    <row r="206" customFormat="1" ht="14.25" customHeight="1" x14ac:dyDescent="0.25"/>
    <row r="207" customFormat="1" ht="14.25" customHeight="1" x14ac:dyDescent="0.25"/>
    <row r="208" customFormat="1" ht="14.25" customHeight="1" x14ac:dyDescent="0.25"/>
    <row r="209" customFormat="1" ht="14.25" customHeight="1" x14ac:dyDescent="0.25"/>
    <row r="210" customFormat="1" ht="14.25" customHeight="1" x14ac:dyDescent="0.25"/>
    <row r="211" customFormat="1" ht="14.25" customHeight="1" x14ac:dyDescent="0.25"/>
    <row r="212" customFormat="1" ht="14.25" customHeight="1" x14ac:dyDescent="0.25"/>
    <row r="213" customFormat="1" ht="14.25" customHeight="1" x14ac:dyDescent="0.25"/>
    <row r="214" customFormat="1" ht="14.25" customHeight="1" x14ac:dyDescent="0.25"/>
    <row r="215" customFormat="1" ht="14.25" customHeight="1" x14ac:dyDescent="0.25"/>
    <row r="216" customFormat="1" ht="14.25" customHeight="1" x14ac:dyDescent="0.25"/>
    <row r="217" customFormat="1" ht="14.25" customHeight="1" x14ac:dyDescent="0.25"/>
    <row r="218" customFormat="1" ht="14.25" customHeight="1" x14ac:dyDescent="0.25"/>
    <row r="219" customFormat="1" ht="14.25" customHeight="1" x14ac:dyDescent="0.25"/>
    <row r="220" customFormat="1" ht="14.25" customHeight="1" x14ac:dyDescent="0.25"/>
    <row r="221" customFormat="1" ht="14.25" customHeight="1" x14ac:dyDescent="0.25"/>
    <row r="222" customFormat="1" ht="14.25" customHeight="1" x14ac:dyDescent="0.25"/>
    <row r="223" customFormat="1" ht="14.25" customHeight="1" x14ac:dyDescent="0.25"/>
    <row r="224" customFormat="1" ht="14.25" customHeight="1" x14ac:dyDescent="0.25"/>
    <row r="225" customFormat="1" ht="14.25" customHeight="1" x14ac:dyDescent="0.25"/>
    <row r="226" customFormat="1" ht="14.25" customHeight="1" x14ac:dyDescent="0.25"/>
    <row r="227" customFormat="1" ht="14.25" customHeight="1" x14ac:dyDescent="0.25"/>
    <row r="228" customFormat="1" ht="14.2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</sheetData>
  <mergeCells count="52">
    <mergeCell ref="L49:M49"/>
    <mergeCell ref="L50:M50"/>
    <mergeCell ref="B51:C51"/>
    <mergeCell ref="B52:C52"/>
    <mergeCell ref="B53:C53"/>
    <mergeCell ref="L44:M44"/>
    <mergeCell ref="L45:M45"/>
    <mergeCell ref="L46:M46"/>
    <mergeCell ref="L47:M47"/>
    <mergeCell ref="L48:M48"/>
    <mergeCell ref="L39:M39"/>
    <mergeCell ref="L40:M40"/>
    <mergeCell ref="L41:M41"/>
    <mergeCell ref="L42:M42"/>
    <mergeCell ref="L43:M43"/>
    <mergeCell ref="L34:M34"/>
    <mergeCell ref="L35:M35"/>
    <mergeCell ref="L36:M36"/>
    <mergeCell ref="L37:M37"/>
    <mergeCell ref="L38:M38"/>
    <mergeCell ref="L29:M29"/>
    <mergeCell ref="L30:M30"/>
    <mergeCell ref="L31:M31"/>
    <mergeCell ref="L32:M32"/>
    <mergeCell ref="L33:M33"/>
    <mergeCell ref="L18:M18"/>
    <mergeCell ref="L19:M19"/>
    <mergeCell ref="L20:M20"/>
    <mergeCell ref="L21:M21"/>
    <mergeCell ref="L22:M22"/>
    <mergeCell ref="L23:M23"/>
    <mergeCell ref="L24:M24"/>
    <mergeCell ref="L26:M26"/>
    <mergeCell ref="L27:M27"/>
    <mergeCell ref="L28:M28"/>
    <mergeCell ref="L12:M12"/>
    <mergeCell ref="L13:M13"/>
    <mergeCell ref="L25:M25"/>
    <mergeCell ref="L14:M14"/>
    <mergeCell ref="L15:M15"/>
    <mergeCell ref="L16:M16"/>
    <mergeCell ref="L17:M17"/>
    <mergeCell ref="L7:M7"/>
    <mergeCell ref="L8:M8"/>
    <mergeCell ref="L9:M9"/>
    <mergeCell ref="L10:M10"/>
    <mergeCell ref="L11:M11"/>
    <mergeCell ref="B2:K2"/>
    <mergeCell ref="E3:K3"/>
    <mergeCell ref="B4:B5"/>
    <mergeCell ref="C4:C5"/>
    <mergeCell ref="L6:M6"/>
  </mergeCells>
  <pageMargins left="0.7" right="0.7" top="0.75" bottom="0.75" header="0" footer="0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1CF1-8E16-45D5-A381-7331DD95E65F}">
  <dimension ref="B1:P976"/>
  <sheetViews>
    <sheetView topLeftCell="C1" workbookViewId="0">
      <selection activeCell="D15" sqref="D15"/>
    </sheetView>
  </sheetViews>
  <sheetFormatPr defaultColWidth="14.42578125" defaultRowHeight="15" customHeight="1" x14ac:dyDescent="0.25"/>
  <cols>
    <col min="1" max="1" width="8.7109375" customWidth="1"/>
    <col min="2" max="2" width="7.140625" customWidth="1"/>
    <col min="3" max="3" width="73.140625" customWidth="1"/>
    <col min="4" max="4" width="15.7109375" customWidth="1"/>
    <col min="5" max="13" width="10" customWidth="1"/>
  </cols>
  <sheetData>
    <row r="1" spans="2:16" ht="14.25" customHeight="1" x14ac:dyDescent="0.25"/>
    <row r="2" spans="2:16" ht="23.25" customHeight="1" x14ac:dyDescent="0.4">
      <c r="B2" s="101" t="s">
        <v>78</v>
      </c>
      <c r="C2" s="91"/>
      <c r="D2" s="91"/>
      <c r="E2" s="91"/>
      <c r="F2" s="91"/>
      <c r="G2" s="91"/>
      <c r="H2" s="91"/>
      <c r="I2" s="91"/>
      <c r="J2" s="91"/>
      <c r="K2" s="91"/>
      <c r="M2" s="1"/>
    </row>
    <row r="3" spans="2:16" ht="14.25" customHeight="1" thickBot="1" x14ac:dyDescent="0.3">
      <c r="B3" s="42"/>
      <c r="C3" s="43"/>
      <c r="D3" s="43"/>
      <c r="E3" s="93" t="s">
        <v>112</v>
      </c>
      <c r="F3" s="94"/>
      <c r="G3" s="94"/>
      <c r="H3" s="94"/>
      <c r="I3" s="94"/>
      <c r="J3" s="94"/>
      <c r="K3" s="94"/>
      <c r="L3" s="4"/>
    </row>
    <row r="4" spans="2:16" ht="14.25" customHeight="1" x14ac:dyDescent="0.25">
      <c r="B4" s="95" t="s">
        <v>2</v>
      </c>
      <c r="C4" s="97" t="s">
        <v>3</v>
      </c>
      <c r="D4" s="5" t="s">
        <v>4</v>
      </c>
      <c r="E4" s="6">
        <v>45971</v>
      </c>
      <c r="F4" s="6">
        <v>45972</v>
      </c>
      <c r="G4" s="6">
        <v>45973</v>
      </c>
      <c r="H4" s="6">
        <v>45974</v>
      </c>
      <c r="I4" s="6">
        <v>45975</v>
      </c>
      <c r="J4" s="6">
        <v>45976</v>
      </c>
      <c r="K4" s="6">
        <v>45977</v>
      </c>
    </row>
    <row r="5" spans="2:16" ht="14.25" customHeight="1" thickBot="1" x14ac:dyDescent="0.3">
      <c r="B5" s="96"/>
      <c r="C5" s="98"/>
      <c r="D5" s="8" t="s">
        <v>5</v>
      </c>
      <c r="E5" s="9" t="s">
        <v>6</v>
      </c>
      <c r="F5" s="10" t="s">
        <v>7</v>
      </c>
      <c r="G5" s="10" t="s">
        <v>8</v>
      </c>
      <c r="H5" s="10" t="s">
        <v>9</v>
      </c>
      <c r="I5" s="11" t="s">
        <v>10</v>
      </c>
      <c r="J5" s="10" t="s">
        <v>11</v>
      </c>
      <c r="K5" s="11" t="s">
        <v>12</v>
      </c>
    </row>
    <row r="6" spans="2:16" ht="14.25" customHeight="1" x14ac:dyDescent="0.25">
      <c r="B6" s="19">
        <v>23</v>
      </c>
      <c r="C6" s="13" t="s">
        <v>76</v>
      </c>
      <c r="D6" s="20">
        <v>2</v>
      </c>
      <c r="E6" s="21"/>
      <c r="F6" s="22"/>
      <c r="G6" s="22">
        <v>0.5</v>
      </c>
      <c r="H6" s="22">
        <v>0.5</v>
      </c>
      <c r="I6" s="23">
        <v>0.5</v>
      </c>
      <c r="J6" s="22">
        <v>0.5</v>
      </c>
      <c r="K6" s="22"/>
      <c r="L6" s="102" t="str">
        <f t="shared" ref="L6:L10" si="0">IF(N6=0, "NOT STARTED",IF(N6&gt;D6, "ERROR TO MUCH WORK", IF(N6=D6, "DONE", "NOT ENOUGH WORK YET")))</f>
        <v>DONE</v>
      </c>
      <c r="M6" s="103"/>
      <c r="N6" s="44">
        <f t="shared" ref="N6:N10" si="1">SUM(E6:K6)</f>
        <v>2</v>
      </c>
      <c r="O6" s="44"/>
      <c r="P6" s="44"/>
    </row>
    <row r="7" spans="2:16" ht="14.25" customHeight="1" x14ac:dyDescent="0.25">
      <c r="B7" s="19">
        <v>24</v>
      </c>
      <c r="C7" s="13" t="s">
        <v>77</v>
      </c>
      <c r="D7" s="20">
        <v>2</v>
      </c>
      <c r="E7" s="25"/>
      <c r="F7" s="22"/>
      <c r="G7" s="22">
        <v>0.5</v>
      </c>
      <c r="H7" s="22">
        <v>0.5</v>
      </c>
      <c r="I7" s="23">
        <v>0.5</v>
      </c>
      <c r="J7" s="22">
        <v>0.5</v>
      </c>
      <c r="K7" s="22"/>
      <c r="L7" s="102" t="str">
        <f t="shared" si="0"/>
        <v>DONE</v>
      </c>
      <c r="M7" s="103"/>
      <c r="N7" s="44">
        <f t="shared" si="1"/>
        <v>2</v>
      </c>
      <c r="O7" s="44"/>
      <c r="P7" s="44"/>
    </row>
    <row r="8" spans="2:16" ht="14.25" customHeight="1" x14ac:dyDescent="0.25">
      <c r="B8" s="19">
        <v>25</v>
      </c>
      <c r="C8" s="13" t="s">
        <v>81</v>
      </c>
      <c r="D8" s="20">
        <v>2</v>
      </c>
      <c r="E8" s="25">
        <v>0.5</v>
      </c>
      <c r="F8" s="22"/>
      <c r="G8" s="22">
        <v>0.5</v>
      </c>
      <c r="H8" s="22">
        <v>0.5</v>
      </c>
      <c r="I8" s="23">
        <v>0.4</v>
      </c>
      <c r="J8" s="22">
        <v>0.1</v>
      </c>
      <c r="K8" s="22"/>
      <c r="L8" s="102" t="str">
        <f t="shared" si="0"/>
        <v>DONE</v>
      </c>
      <c r="M8" s="103"/>
      <c r="N8" s="44">
        <f t="shared" si="1"/>
        <v>2</v>
      </c>
      <c r="O8" s="44"/>
      <c r="P8" s="44"/>
    </row>
    <row r="9" spans="2:16" ht="14.25" customHeight="1" thickBot="1" x14ac:dyDescent="0.3">
      <c r="B9" s="19">
        <v>26</v>
      </c>
      <c r="C9" s="13" t="s">
        <v>82</v>
      </c>
      <c r="D9" s="20">
        <v>2</v>
      </c>
      <c r="E9" s="25">
        <v>2</v>
      </c>
      <c r="F9" s="22"/>
      <c r="G9" s="22"/>
      <c r="H9" s="22"/>
      <c r="I9" s="23"/>
      <c r="J9" s="22"/>
      <c r="K9" s="22"/>
      <c r="L9" s="102" t="str">
        <f t="shared" si="0"/>
        <v>DONE</v>
      </c>
      <c r="M9" s="103"/>
      <c r="N9" s="44">
        <f t="shared" si="1"/>
        <v>2</v>
      </c>
      <c r="O9" s="44"/>
      <c r="P9" s="44"/>
    </row>
    <row r="10" spans="2:16" ht="14.25" customHeight="1" x14ac:dyDescent="0.25">
      <c r="B10" s="19">
        <v>27</v>
      </c>
      <c r="C10" s="52" t="s">
        <v>80</v>
      </c>
      <c r="D10" s="14">
        <v>3</v>
      </c>
      <c r="E10" s="25">
        <v>1</v>
      </c>
      <c r="F10" s="22">
        <v>1</v>
      </c>
      <c r="G10" s="22">
        <v>1</v>
      </c>
      <c r="H10" s="22"/>
      <c r="I10" s="23"/>
      <c r="J10" s="22"/>
      <c r="K10" s="22"/>
      <c r="L10" s="102" t="str">
        <f t="shared" si="0"/>
        <v>DONE</v>
      </c>
      <c r="M10" s="103"/>
      <c r="N10" s="44">
        <f t="shared" si="1"/>
        <v>3</v>
      </c>
      <c r="O10" s="44"/>
      <c r="P10" s="44"/>
    </row>
    <row r="11" spans="2:16" ht="14.25" customHeight="1" x14ac:dyDescent="0.25">
      <c r="B11" s="19">
        <v>28</v>
      </c>
      <c r="C11" s="52" t="s">
        <v>79</v>
      </c>
      <c r="D11" s="20">
        <v>2</v>
      </c>
      <c r="E11" s="25"/>
      <c r="F11" s="22">
        <v>0.6</v>
      </c>
      <c r="G11" s="22">
        <v>0.6</v>
      </c>
      <c r="H11" s="22">
        <v>0.5</v>
      </c>
      <c r="I11" s="23">
        <v>0.2</v>
      </c>
      <c r="J11" s="22">
        <v>0.1</v>
      </c>
      <c r="K11" s="22"/>
      <c r="L11" s="104" t="str">
        <f>IF(N11=0, "NOT STARTED",IF(N11&gt;D11, "ERROR TO MUCH WORK", IF(N11=D11, "DONE", "NOT ENOUGH WORK YET")))</f>
        <v>DONE</v>
      </c>
      <c r="M11" s="105"/>
      <c r="N11" s="44">
        <f>SUM(E11:K11)</f>
        <v>2</v>
      </c>
      <c r="O11" s="44"/>
      <c r="P11" s="44"/>
    </row>
    <row r="12" spans="2:16" ht="14.25" customHeight="1" x14ac:dyDescent="0.25">
      <c r="B12" s="19">
        <v>29</v>
      </c>
      <c r="C12" s="52" t="s">
        <v>84</v>
      </c>
      <c r="D12" s="53">
        <v>1.6</v>
      </c>
      <c r="E12" s="25"/>
      <c r="F12" s="22"/>
      <c r="G12" s="22"/>
      <c r="H12" s="22"/>
      <c r="I12" s="23"/>
      <c r="J12" s="22">
        <v>1</v>
      </c>
      <c r="K12" s="22">
        <v>0.6</v>
      </c>
      <c r="L12" s="102" t="str">
        <f t="shared" ref="L12" si="2">IF(N12=0, "NOT STARTED",IF(N12&gt;D12, "ERROR TO MUCH WORK", IF(N12=D12, "DONE", "NOT ENOUGH WORK YET")))</f>
        <v>DONE</v>
      </c>
      <c r="M12" s="103"/>
      <c r="N12" s="44">
        <f t="shared" ref="N12" si="3">SUM(E12:K12)</f>
        <v>1.6</v>
      </c>
      <c r="O12" s="44"/>
      <c r="P12" s="44"/>
    </row>
    <row r="13" spans="2:16" ht="14.25" customHeight="1" thickBot="1" x14ac:dyDescent="0.3">
      <c r="B13" s="19">
        <v>30</v>
      </c>
      <c r="C13" s="52" t="s">
        <v>83</v>
      </c>
      <c r="D13" s="53">
        <v>1</v>
      </c>
      <c r="E13" s="25"/>
      <c r="F13" s="22"/>
      <c r="G13" s="22"/>
      <c r="H13" s="22"/>
      <c r="I13" s="23"/>
      <c r="J13" s="22">
        <v>1</v>
      </c>
      <c r="K13" s="22"/>
      <c r="L13" s="104" t="str">
        <f>IF(N13=0, "NOT STARTED",IF(N13&gt;D13, "ERROR TO MUCH WORK", IF(N13=D13, "DONE", "NOT ENOUGH WORK YET")))</f>
        <v>DONE</v>
      </c>
      <c r="M13" s="105"/>
      <c r="N13" s="44">
        <f>SUM(E13:K13)</f>
        <v>1</v>
      </c>
      <c r="O13" s="44"/>
      <c r="P13" s="44"/>
    </row>
    <row r="14" spans="2:16" ht="14.25" customHeight="1" x14ac:dyDescent="0.25">
      <c r="B14" s="99" t="s">
        <v>24</v>
      </c>
      <c r="C14" s="100"/>
      <c r="D14" s="26">
        <v>0</v>
      </c>
      <c r="E14" s="27">
        <f t="shared" ref="E14:K14" si="4">SUM(E6:E13)</f>
        <v>3.5</v>
      </c>
      <c r="F14" s="28">
        <f t="shared" si="4"/>
        <v>1.6</v>
      </c>
      <c r="G14" s="28">
        <f t="shared" si="4"/>
        <v>3.1</v>
      </c>
      <c r="H14" s="28">
        <f t="shared" si="4"/>
        <v>2</v>
      </c>
      <c r="I14" s="29">
        <f t="shared" si="4"/>
        <v>1.5999999999999999</v>
      </c>
      <c r="J14" s="30">
        <f t="shared" si="4"/>
        <v>3.2</v>
      </c>
      <c r="K14" s="28">
        <f t="shared" si="4"/>
        <v>0.6</v>
      </c>
    </row>
    <row r="15" spans="2:16" ht="14.25" customHeight="1" x14ac:dyDescent="0.25">
      <c r="B15" s="86" t="s">
        <v>25</v>
      </c>
      <c r="C15" s="87"/>
      <c r="D15" s="32">
        <f>SUM(D6:D14)</f>
        <v>15.6</v>
      </c>
      <c r="E15" s="33">
        <f t="shared" ref="E15:K15" si="5">D15-SUM(E6:E13)</f>
        <v>12.1</v>
      </c>
      <c r="F15" s="34">
        <f t="shared" si="5"/>
        <v>10.5</v>
      </c>
      <c r="G15" s="34">
        <f t="shared" si="5"/>
        <v>7.4</v>
      </c>
      <c r="H15" s="34">
        <f t="shared" si="5"/>
        <v>5.4</v>
      </c>
      <c r="I15" s="35">
        <f t="shared" si="5"/>
        <v>3.8000000000000007</v>
      </c>
      <c r="J15" s="36">
        <f t="shared" si="5"/>
        <v>0.60000000000000053</v>
      </c>
      <c r="K15" s="36">
        <f t="shared" si="5"/>
        <v>0</v>
      </c>
    </row>
    <row r="16" spans="2:16" ht="14.25" customHeight="1" thickBot="1" x14ac:dyDescent="0.3">
      <c r="B16" s="88" t="s">
        <v>26</v>
      </c>
      <c r="C16" s="89"/>
      <c r="D16" s="39">
        <v>15.6</v>
      </c>
      <c r="E16" s="40">
        <f>$D$16-($D$16/7*1)</f>
        <v>13.37142857142857</v>
      </c>
      <c r="F16" s="40">
        <f>$D$16-($D$16/7*2)</f>
        <v>11.142857142857142</v>
      </c>
      <c r="G16" s="40">
        <f>$D$16-($D$16/7*3)</f>
        <v>8.9142857142857146</v>
      </c>
      <c r="H16" s="40">
        <f>$D$16-($D$16/7*4)</f>
        <v>6.6857142857142851</v>
      </c>
      <c r="I16" s="41">
        <f>$D$16-($D$16/7*5)</f>
        <v>4.4571428571428573</v>
      </c>
      <c r="J16" s="41">
        <f>$D$16-($D$16/7*6)</f>
        <v>2.2285714285714278</v>
      </c>
      <c r="K16" s="40">
        <f>$D$16-($D$16/7*7)</f>
        <v>0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</sheetData>
  <mergeCells count="15">
    <mergeCell ref="B14:C14"/>
    <mergeCell ref="B15:C15"/>
    <mergeCell ref="B16:C16"/>
    <mergeCell ref="L11:M11"/>
    <mergeCell ref="L7:M7"/>
    <mergeCell ref="L8:M8"/>
    <mergeCell ref="L9:M9"/>
    <mergeCell ref="L10:M10"/>
    <mergeCell ref="L12:M12"/>
    <mergeCell ref="L13:M13"/>
    <mergeCell ref="B2:K2"/>
    <mergeCell ref="E3:K3"/>
    <mergeCell ref="B4:B5"/>
    <mergeCell ref="C4:C5"/>
    <mergeCell ref="L6:M6"/>
  </mergeCells>
  <conditionalFormatting sqref="L6:L13">
    <cfRule type="cellIs" dxfId="7" priority="4" operator="equal">
      <formula>"DONE"</formula>
    </cfRule>
  </conditionalFormatting>
  <conditionalFormatting sqref="L6:M13">
    <cfRule type="cellIs" dxfId="6" priority="5" operator="equal">
      <formula>"NOT ENOUGH WORK YET"</formula>
    </cfRule>
    <cfRule type="cellIs" dxfId="5" priority="6" operator="equal">
      <formula>"ERROR TO MUCH WORK"</formula>
    </cfRule>
    <cfRule type="cellIs" dxfId="4" priority="8" operator="equal">
      <formula>"NOT STARTED"</formula>
    </cfRule>
  </conditionalFormatting>
  <conditionalFormatting sqref="N7:N13">
    <cfRule type="colorScale" priority="7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F48E-9C64-4E70-BB5A-3E5673E0A3CB}">
  <dimension ref="B2:P37"/>
  <sheetViews>
    <sheetView topLeftCell="A13" zoomScale="70" zoomScaleNormal="70" workbookViewId="0">
      <selection activeCell="M42" sqref="M42"/>
    </sheetView>
  </sheetViews>
  <sheetFormatPr defaultRowHeight="15" x14ac:dyDescent="0.25"/>
  <cols>
    <col min="2" max="2" width="7.42578125" customWidth="1"/>
    <col min="3" max="3" width="79" customWidth="1"/>
    <col min="4" max="4" width="17" customWidth="1"/>
    <col min="5" max="5" width="11.5703125" customWidth="1"/>
    <col min="6" max="6" width="12" customWidth="1"/>
    <col min="7" max="7" width="10.85546875" customWidth="1"/>
    <col min="8" max="8" width="11.42578125" customWidth="1"/>
    <col min="9" max="9" width="11.85546875" customWidth="1"/>
    <col min="10" max="10" width="13.140625" customWidth="1"/>
    <col min="11" max="11" width="12.42578125" customWidth="1"/>
    <col min="13" max="13" width="13.140625" customWidth="1"/>
    <col min="14" max="14" width="12.7109375" customWidth="1"/>
  </cols>
  <sheetData>
    <row r="2" spans="2:16" ht="26.25" x14ac:dyDescent="0.4">
      <c r="B2" s="101" t="s">
        <v>85</v>
      </c>
      <c r="C2" s="91"/>
      <c r="D2" s="91"/>
      <c r="E2" s="91"/>
      <c r="F2" s="91"/>
      <c r="G2" s="91"/>
      <c r="H2" s="91"/>
      <c r="I2" s="91"/>
      <c r="J2" s="91"/>
      <c r="K2" s="91"/>
      <c r="M2" s="1"/>
    </row>
    <row r="3" spans="2:16" ht="15.75" thickBot="1" x14ac:dyDescent="0.3">
      <c r="B3" s="42"/>
      <c r="C3" s="43"/>
      <c r="D3" s="58"/>
      <c r="E3" s="93" t="s">
        <v>111</v>
      </c>
      <c r="F3" s="94"/>
      <c r="G3" s="94"/>
      <c r="H3" s="94"/>
      <c r="I3" s="94"/>
      <c r="J3" s="94"/>
      <c r="K3" s="94"/>
      <c r="L3" s="4"/>
    </row>
    <row r="4" spans="2:16" ht="15.75" thickBot="1" x14ac:dyDescent="0.3">
      <c r="B4" s="95" t="s">
        <v>2</v>
      </c>
      <c r="C4" s="111" t="s">
        <v>3</v>
      </c>
      <c r="D4" s="74" t="s">
        <v>4</v>
      </c>
      <c r="E4" s="75">
        <v>45978</v>
      </c>
      <c r="F4" s="78">
        <v>45979</v>
      </c>
      <c r="G4" s="78">
        <v>45980</v>
      </c>
      <c r="H4" s="78">
        <v>45981</v>
      </c>
      <c r="I4" s="78">
        <v>45982</v>
      </c>
      <c r="J4" s="78">
        <v>45983</v>
      </c>
      <c r="K4" s="78">
        <v>45984</v>
      </c>
    </row>
    <row r="5" spans="2:16" ht="15.75" thickBot="1" x14ac:dyDescent="0.3">
      <c r="B5" s="96"/>
      <c r="C5" s="112"/>
      <c r="D5" s="81" t="s">
        <v>5</v>
      </c>
      <c r="E5" s="77" t="s">
        <v>6</v>
      </c>
      <c r="F5" s="77" t="s">
        <v>7</v>
      </c>
      <c r="G5" s="77" t="s">
        <v>8</v>
      </c>
      <c r="H5" s="77" t="s">
        <v>9</v>
      </c>
      <c r="I5" s="77" t="s">
        <v>10</v>
      </c>
      <c r="J5" s="77" t="s">
        <v>11</v>
      </c>
      <c r="K5" s="80" t="s">
        <v>12</v>
      </c>
    </row>
    <row r="6" spans="2:16" x14ac:dyDescent="0.25">
      <c r="B6" s="71" t="s">
        <v>86</v>
      </c>
      <c r="C6" s="56" t="s">
        <v>99</v>
      </c>
      <c r="D6" s="83">
        <v>2</v>
      </c>
      <c r="E6" s="76"/>
      <c r="F6" s="49">
        <v>0.5</v>
      </c>
      <c r="G6" s="51">
        <v>0.5</v>
      </c>
      <c r="H6" s="51">
        <v>0.5</v>
      </c>
      <c r="I6" s="79">
        <v>0.25</v>
      </c>
      <c r="J6" s="51">
        <v>0.25</v>
      </c>
      <c r="K6" s="51"/>
      <c r="L6" s="102" t="str">
        <f t="shared" ref="L6:L23" si="0">IF(N6=0, "NOT STARTED",IF(N6&gt;D6, "ERROR TO MUCH WORK", IF(N6=D6, "DONE", "NOT ENOUGH WORK YET")))</f>
        <v>DONE</v>
      </c>
      <c r="M6" s="103"/>
      <c r="N6" s="44">
        <f t="shared" ref="N6:N23" si="1">SUM(E6:K6)</f>
        <v>2</v>
      </c>
      <c r="O6" s="1" t="s">
        <v>47</v>
      </c>
      <c r="P6" s="44"/>
    </row>
    <row r="7" spans="2:16" x14ac:dyDescent="0.25">
      <c r="B7" s="72" t="s">
        <v>87</v>
      </c>
      <c r="C7" s="56" t="s">
        <v>99</v>
      </c>
      <c r="D7" s="84">
        <v>2</v>
      </c>
      <c r="E7" s="49">
        <v>0.5</v>
      </c>
      <c r="F7" s="22"/>
      <c r="G7" s="22">
        <v>0.5</v>
      </c>
      <c r="H7" s="22">
        <v>0.5</v>
      </c>
      <c r="I7" s="23"/>
      <c r="J7" s="22">
        <v>0.5</v>
      </c>
      <c r="K7" s="22"/>
      <c r="L7" s="102" t="str">
        <f t="shared" si="0"/>
        <v>DONE</v>
      </c>
      <c r="M7" s="103"/>
      <c r="N7" s="44">
        <f>SUM(E7:K7)</f>
        <v>2</v>
      </c>
      <c r="O7" s="1" t="s">
        <v>41</v>
      </c>
      <c r="P7" s="44"/>
    </row>
    <row r="8" spans="2:16" x14ac:dyDescent="0.25">
      <c r="B8" s="72" t="s">
        <v>88</v>
      </c>
      <c r="C8" s="56" t="s">
        <v>100</v>
      </c>
      <c r="D8" s="84">
        <v>2</v>
      </c>
      <c r="E8" s="69">
        <v>0.5</v>
      </c>
      <c r="F8" s="22">
        <v>0.5</v>
      </c>
      <c r="G8" s="22">
        <v>0.5</v>
      </c>
      <c r="H8" s="22">
        <v>0.5</v>
      </c>
      <c r="I8" s="23"/>
      <c r="J8" s="22"/>
      <c r="K8" s="22"/>
      <c r="L8" s="102" t="str">
        <f t="shared" si="0"/>
        <v>DONE</v>
      </c>
      <c r="M8" s="103"/>
      <c r="N8" s="44">
        <f t="shared" si="1"/>
        <v>2</v>
      </c>
      <c r="O8" s="1" t="s">
        <v>37</v>
      </c>
      <c r="P8" s="44"/>
    </row>
    <row r="9" spans="2:16" x14ac:dyDescent="0.25">
      <c r="B9" s="72" t="s">
        <v>89</v>
      </c>
      <c r="C9" s="56" t="s">
        <v>100</v>
      </c>
      <c r="D9" s="84">
        <v>2</v>
      </c>
      <c r="E9" s="69">
        <v>0.5</v>
      </c>
      <c r="F9" s="22">
        <v>0.5</v>
      </c>
      <c r="G9" s="22">
        <v>0.5</v>
      </c>
      <c r="H9" s="22">
        <v>0.5</v>
      </c>
      <c r="I9" s="23"/>
      <c r="J9" s="22"/>
      <c r="K9" s="22"/>
      <c r="L9" s="102" t="str">
        <f t="shared" si="0"/>
        <v>DONE</v>
      </c>
      <c r="M9" s="103"/>
      <c r="N9" s="44">
        <f t="shared" si="1"/>
        <v>2</v>
      </c>
      <c r="O9" s="1" t="s">
        <v>98</v>
      </c>
      <c r="P9" s="44"/>
    </row>
    <row r="10" spans="2:16" x14ac:dyDescent="0.25">
      <c r="B10" s="72" t="s">
        <v>90</v>
      </c>
      <c r="C10" s="56" t="s">
        <v>101</v>
      </c>
      <c r="D10" s="84">
        <v>0.5</v>
      </c>
      <c r="E10" s="69"/>
      <c r="F10" s="22"/>
      <c r="G10" s="22">
        <v>0.25</v>
      </c>
      <c r="H10" s="22">
        <v>0.25</v>
      </c>
      <c r="I10" s="23"/>
      <c r="J10" s="22"/>
      <c r="K10" s="22"/>
      <c r="L10" s="102" t="str">
        <f t="shared" si="0"/>
        <v>DONE</v>
      </c>
      <c r="M10" s="103"/>
      <c r="N10" s="44">
        <f t="shared" si="1"/>
        <v>0.5</v>
      </c>
      <c r="O10" s="1" t="s">
        <v>47</v>
      </c>
      <c r="P10" s="44"/>
    </row>
    <row r="11" spans="2:16" x14ac:dyDescent="0.25">
      <c r="B11" s="72" t="s">
        <v>91</v>
      </c>
      <c r="C11" s="56" t="s">
        <v>101</v>
      </c>
      <c r="D11" s="84">
        <v>0.5</v>
      </c>
      <c r="E11" s="69">
        <v>0.25</v>
      </c>
      <c r="F11" s="22"/>
      <c r="G11" s="22"/>
      <c r="H11" s="22">
        <v>0.25</v>
      </c>
      <c r="I11" s="23"/>
      <c r="J11" s="22"/>
      <c r="K11" s="22"/>
      <c r="L11" s="102" t="str">
        <f t="shared" si="0"/>
        <v>DONE</v>
      </c>
      <c r="M11" s="103"/>
      <c r="N11" s="44">
        <f t="shared" si="1"/>
        <v>0.5</v>
      </c>
      <c r="O11" s="1" t="s">
        <v>41</v>
      </c>
      <c r="P11" s="44"/>
    </row>
    <row r="12" spans="2:16" x14ac:dyDescent="0.25">
      <c r="B12" s="72" t="s">
        <v>92</v>
      </c>
      <c r="C12" s="56" t="s">
        <v>102</v>
      </c>
      <c r="D12" s="84">
        <v>0.5</v>
      </c>
      <c r="E12" s="69"/>
      <c r="F12" s="22"/>
      <c r="G12" s="22"/>
      <c r="H12" s="22">
        <v>0.25</v>
      </c>
      <c r="I12" s="23"/>
      <c r="J12" s="22"/>
      <c r="K12" s="22">
        <v>0.25</v>
      </c>
      <c r="L12" s="102" t="str">
        <f t="shared" si="0"/>
        <v>DONE</v>
      </c>
      <c r="M12" s="103"/>
      <c r="N12" s="44">
        <f t="shared" si="1"/>
        <v>0.5</v>
      </c>
      <c r="O12" s="1" t="s">
        <v>37</v>
      </c>
      <c r="P12" s="44"/>
    </row>
    <row r="13" spans="2:16" x14ac:dyDescent="0.25">
      <c r="B13" s="72" t="s">
        <v>93</v>
      </c>
      <c r="C13" s="56" t="s">
        <v>102</v>
      </c>
      <c r="D13" s="84">
        <v>0.5</v>
      </c>
      <c r="E13" s="69"/>
      <c r="F13" s="22"/>
      <c r="G13" s="22"/>
      <c r="H13" s="22">
        <v>0.25</v>
      </c>
      <c r="I13" s="23"/>
      <c r="J13" s="22"/>
      <c r="K13" s="22">
        <v>0.25</v>
      </c>
      <c r="L13" s="102" t="str">
        <f t="shared" si="0"/>
        <v>DONE</v>
      </c>
      <c r="M13" s="103"/>
      <c r="N13" s="44">
        <f t="shared" si="1"/>
        <v>0.5</v>
      </c>
      <c r="O13" s="1" t="s">
        <v>98</v>
      </c>
      <c r="P13" s="44"/>
    </row>
    <row r="14" spans="2:16" x14ac:dyDescent="0.25">
      <c r="B14" s="72">
        <v>35</v>
      </c>
      <c r="C14" s="55" t="s">
        <v>103</v>
      </c>
      <c r="D14" s="84">
        <v>1</v>
      </c>
      <c r="E14" s="69">
        <v>0.25</v>
      </c>
      <c r="F14" s="22">
        <v>0.75</v>
      </c>
      <c r="G14" s="22"/>
      <c r="H14" s="22"/>
      <c r="I14" s="23"/>
      <c r="J14" s="22"/>
      <c r="K14" s="22"/>
      <c r="L14" s="102" t="str">
        <f t="shared" si="0"/>
        <v>DONE</v>
      </c>
      <c r="M14" s="103"/>
      <c r="N14" s="44">
        <f t="shared" si="1"/>
        <v>1</v>
      </c>
      <c r="O14" s="1" t="s">
        <v>44</v>
      </c>
      <c r="P14" s="1"/>
    </row>
    <row r="15" spans="2:16" x14ac:dyDescent="0.25">
      <c r="B15" s="72">
        <v>36</v>
      </c>
      <c r="C15" s="55" t="s">
        <v>104</v>
      </c>
      <c r="D15" s="84">
        <v>1</v>
      </c>
      <c r="E15" s="69"/>
      <c r="F15" s="22"/>
      <c r="G15" s="22">
        <v>0.5</v>
      </c>
      <c r="H15" s="22">
        <v>0.5</v>
      </c>
      <c r="I15" s="23"/>
      <c r="J15" s="22"/>
      <c r="K15" s="22"/>
      <c r="L15" s="102" t="str">
        <f t="shared" si="0"/>
        <v>DONE</v>
      </c>
      <c r="M15" s="103"/>
      <c r="N15" s="44">
        <f t="shared" si="1"/>
        <v>1</v>
      </c>
      <c r="O15" s="1" t="s">
        <v>39</v>
      </c>
      <c r="P15" s="44"/>
    </row>
    <row r="16" spans="2:16" x14ac:dyDescent="0.25">
      <c r="B16" s="72" t="s">
        <v>94</v>
      </c>
      <c r="C16" s="1" t="s">
        <v>105</v>
      </c>
      <c r="D16" s="84">
        <v>1</v>
      </c>
      <c r="E16" s="69"/>
      <c r="F16" s="22"/>
      <c r="G16" s="22"/>
      <c r="H16" s="22"/>
      <c r="I16" s="23"/>
      <c r="J16" s="22">
        <v>0.5</v>
      </c>
      <c r="K16" s="22">
        <v>0.5</v>
      </c>
      <c r="L16" s="102" t="str">
        <f t="shared" si="0"/>
        <v>DONE</v>
      </c>
      <c r="M16" s="103"/>
      <c r="N16" s="44">
        <f t="shared" si="1"/>
        <v>1</v>
      </c>
      <c r="O16" s="1" t="s">
        <v>47</v>
      </c>
      <c r="P16" s="44"/>
    </row>
    <row r="17" spans="2:16" x14ac:dyDescent="0.25">
      <c r="B17" s="72" t="s">
        <v>95</v>
      </c>
      <c r="C17" s="1" t="s">
        <v>105</v>
      </c>
      <c r="D17" s="84">
        <v>1</v>
      </c>
      <c r="E17" s="69"/>
      <c r="F17" s="22"/>
      <c r="G17" s="22"/>
      <c r="H17" s="22"/>
      <c r="I17" s="23">
        <v>0.75</v>
      </c>
      <c r="J17" s="22"/>
      <c r="K17" s="22">
        <v>0.25</v>
      </c>
      <c r="L17" s="102" t="str">
        <f t="shared" si="0"/>
        <v>DONE</v>
      </c>
      <c r="M17" s="103"/>
      <c r="N17" s="44">
        <f t="shared" si="1"/>
        <v>1</v>
      </c>
      <c r="O17" s="1" t="s">
        <v>41</v>
      </c>
      <c r="P17" s="44"/>
    </row>
    <row r="18" spans="2:16" x14ac:dyDescent="0.25">
      <c r="B18" s="72" t="s">
        <v>96</v>
      </c>
      <c r="C18" s="1" t="s">
        <v>106</v>
      </c>
      <c r="D18" s="84">
        <v>1</v>
      </c>
      <c r="E18" s="69"/>
      <c r="F18" s="22"/>
      <c r="G18" s="22"/>
      <c r="H18" s="22"/>
      <c r="I18" s="23"/>
      <c r="J18" s="22"/>
      <c r="K18" s="22">
        <v>1</v>
      </c>
      <c r="L18" s="102" t="str">
        <f t="shared" si="0"/>
        <v>DONE</v>
      </c>
      <c r="M18" s="103"/>
      <c r="N18" s="44">
        <f t="shared" si="1"/>
        <v>1</v>
      </c>
      <c r="O18" s="1" t="s">
        <v>37</v>
      </c>
      <c r="P18" s="44"/>
    </row>
    <row r="19" spans="2:16" x14ac:dyDescent="0.25">
      <c r="B19" s="72" t="s">
        <v>97</v>
      </c>
      <c r="C19" s="1" t="s">
        <v>106</v>
      </c>
      <c r="D19" s="84">
        <v>1</v>
      </c>
      <c r="E19" s="69"/>
      <c r="F19" s="22"/>
      <c r="G19" s="22"/>
      <c r="H19" s="22"/>
      <c r="I19" s="23"/>
      <c r="J19" s="22"/>
      <c r="K19" s="22">
        <v>1</v>
      </c>
      <c r="L19" s="102" t="str">
        <f t="shared" si="0"/>
        <v>DONE</v>
      </c>
      <c r="M19" s="103"/>
      <c r="N19" s="44">
        <f t="shared" si="1"/>
        <v>1</v>
      </c>
      <c r="O19" s="1" t="s">
        <v>98</v>
      </c>
      <c r="P19" s="44"/>
    </row>
    <row r="20" spans="2:16" x14ac:dyDescent="0.25">
      <c r="B20" s="72">
        <v>39</v>
      </c>
      <c r="C20" s="56" t="s">
        <v>107</v>
      </c>
      <c r="D20" s="84">
        <v>3</v>
      </c>
      <c r="E20" s="69"/>
      <c r="F20" s="22"/>
      <c r="G20" s="22"/>
      <c r="H20" s="22"/>
      <c r="I20" s="23">
        <v>1</v>
      </c>
      <c r="J20" s="22">
        <v>1</v>
      </c>
      <c r="K20" s="22">
        <v>1</v>
      </c>
      <c r="L20" s="102" t="str">
        <f t="shared" si="0"/>
        <v>DONE</v>
      </c>
      <c r="M20" s="103"/>
      <c r="N20" s="44">
        <f t="shared" si="1"/>
        <v>3</v>
      </c>
      <c r="O20" s="1" t="s">
        <v>44</v>
      </c>
      <c r="P20" s="44"/>
    </row>
    <row r="21" spans="2:16" x14ac:dyDescent="0.25">
      <c r="B21" s="72">
        <v>40</v>
      </c>
      <c r="C21" s="56" t="s">
        <v>108</v>
      </c>
      <c r="D21" s="84">
        <v>3</v>
      </c>
      <c r="E21" s="69"/>
      <c r="F21" s="22"/>
      <c r="G21" s="22"/>
      <c r="H21" s="22"/>
      <c r="I21" s="23"/>
      <c r="J21" s="22">
        <v>2.5</v>
      </c>
      <c r="K21" s="22">
        <v>0.5</v>
      </c>
      <c r="L21" s="102" t="str">
        <f t="shared" si="0"/>
        <v>DONE</v>
      </c>
      <c r="M21" s="103"/>
      <c r="N21" s="44">
        <f t="shared" si="1"/>
        <v>3</v>
      </c>
      <c r="O21" s="1" t="s">
        <v>39</v>
      </c>
      <c r="P21" s="44"/>
    </row>
    <row r="22" spans="2:16" x14ac:dyDescent="0.25">
      <c r="B22" s="72">
        <v>41</v>
      </c>
      <c r="C22" s="56" t="s">
        <v>109</v>
      </c>
      <c r="D22" s="84">
        <v>2</v>
      </c>
      <c r="E22" s="69">
        <v>0.5</v>
      </c>
      <c r="F22" s="22">
        <v>0.5</v>
      </c>
      <c r="G22" s="22">
        <v>1</v>
      </c>
      <c r="H22" s="22"/>
      <c r="I22" s="23"/>
      <c r="J22" s="22"/>
      <c r="K22" s="22"/>
      <c r="L22" s="102" t="str">
        <f t="shared" si="0"/>
        <v>DONE</v>
      </c>
      <c r="M22" s="103"/>
      <c r="N22" s="44">
        <f t="shared" si="1"/>
        <v>2</v>
      </c>
      <c r="O22" s="1" t="s">
        <v>44</v>
      </c>
      <c r="P22" s="44"/>
    </row>
    <row r="23" spans="2:16" ht="15.75" customHeight="1" thickBot="1" x14ac:dyDescent="0.3">
      <c r="B23" s="73">
        <v>42</v>
      </c>
      <c r="C23" s="65" t="s">
        <v>110</v>
      </c>
      <c r="D23" s="85">
        <v>2</v>
      </c>
      <c r="E23" s="70">
        <v>0.5</v>
      </c>
      <c r="F23" s="66">
        <v>0.5</v>
      </c>
      <c r="G23" s="66">
        <v>1</v>
      </c>
      <c r="H23" s="66"/>
      <c r="I23" s="67"/>
      <c r="J23" s="66"/>
      <c r="K23" s="66"/>
      <c r="L23" s="102" t="str">
        <f t="shared" si="0"/>
        <v>DONE</v>
      </c>
      <c r="M23" s="103"/>
      <c r="N23" s="44">
        <f t="shared" si="1"/>
        <v>2</v>
      </c>
      <c r="O23" s="1" t="s">
        <v>39</v>
      </c>
      <c r="P23" s="44"/>
    </row>
    <row r="24" spans="2:16" ht="15.75" thickBot="1" x14ac:dyDescent="0.3">
      <c r="B24" s="106" t="s">
        <v>24</v>
      </c>
      <c r="C24" s="107"/>
      <c r="D24" s="82">
        <v>0</v>
      </c>
      <c r="E24" s="68">
        <f t="shared" ref="E24:K24" si="2">SUM(E6:E23)</f>
        <v>3</v>
      </c>
      <c r="F24" s="68">
        <f t="shared" si="2"/>
        <v>3.25</v>
      </c>
      <c r="G24" s="68">
        <f t="shared" si="2"/>
        <v>4.75</v>
      </c>
      <c r="H24" s="68">
        <f t="shared" si="2"/>
        <v>3.5</v>
      </c>
      <c r="I24" s="68">
        <f t="shared" si="2"/>
        <v>2</v>
      </c>
      <c r="J24" s="68">
        <f t="shared" si="2"/>
        <v>4.75</v>
      </c>
      <c r="K24" s="68">
        <f t="shared" si="2"/>
        <v>4.75</v>
      </c>
      <c r="L24" s="102"/>
      <c r="M24" s="103"/>
      <c r="N24" s="44"/>
      <c r="O24" s="44"/>
      <c r="P24" s="44"/>
    </row>
    <row r="25" spans="2:16" ht="15.75" thickBot="1" x14ac:dyDescent="0.3">
      <c r="B25" s="108" t="s">
        <v>25</v>
      </c>
      <c r="C25" s="107"/>
      <c r="D25" s="63">
        <f>SUM(D6:D24)</f>
        <v>26</v>
      </c>
      <c r="E25" s="64">
        <f t="shared" ref="E25:K25" si="3">D25-SUM(E6:E23)</f>
        <v>23</v>
      </c>
      <c r="F25" s="64">
        <f t="shared" si="3"/>
        <v>19.75</v>
      </c>
      <c r="G25" s="64">
        <f t="shared" si="3"/>
        <v>15</v>
      </c>
      <c r="H25" s="64">
        <f t="shared" si="3"/>
        <v>11.5</v>
      </c>
      <c r="I25" s="64">
        <f t="shared" si="3"/>
        <v>9.5</v>
      </c>
      <c r="J25" s="64">
        <f t="shared" si="3"/>
        <v>4.75</v>
      </c>
      <c r="K25" s="64">
        <f t="shared" si="3"/>
        <v>0</v>
      </c>
      <c r="L25" s="102"/>
      <c r="M25" s="103"/>
      <c r="N25" s="44"/>
      <c r="O25" s="44"/>
      <c r="P25" s="44"/>
    </row>
    <row r="26" spans="2:16" ht="15.75" thickBot="1" x14ac:dyDescent="0.3">
      <c r="B26" s="109" t="s">
        <v>26</v>
      </c>
      <c r="C26" s="110"/>
      <c r="D26" s="60">
        <f>SUM(D6:D23)</f>
        <v>26</v>
      </c>
      <c r="E26" s="61">
        <f>$D$26-($D$26/7*1)</f>
        <v>22.285714285714285</v>
      </c>
      <c r="F26" s="61">
        <f>$D$26-($D$26/7*2)</f>
        <v>18.571428571428569</v>
      </c>
      <c r="G26" s="61">
        <f>$D$26-($D$26/7*3)</f>
        <v>14.857142857142858</v>
      </c>
      <c r="H26" s="61">
        <f>$D$26-($D$26/7*4)</f>
        <v>11.142857142857142</v>
      </c>
      <c r="I26" s="61">
        <f>$D$26-($D$26/7*5)</f>
        <v>7.428571428571427</v>
      </c>
      <c r="J26" s="61">
        <f>$D$26-($D$26/7*6)</f>
        <v>3.7142857142857153</v>
      </c>
      <c r="K26" s="62">
        <f>$D$26-($D$26/7*7)</f>
        <v>0</v>
      </c>
      <c r="L26" s="102"/>
      <c r="M26" s="103"/>
      <c r="N26" s="44"/>
      <c r="O26" s="44"/>
      <c r="P26" s="44"/>
    </row>
    <row r="27" spans="2:16" x14ac:dyDescent="0.25">
      <c r="B27" s="57"/>
      <c r="C27" s="54"/>
      <c r="D27" s="58"/>
      <c r="E27" s="58"/>
      <c r="F27" s="58"/>
      <c r="G27" s="58"/>
      <c r="H27" s="58"/>
      <c r="I27" s="58"/>
      <c r="J27" s="58"/>
      <c r="K27" s="58"/>
      <c r="L27" s="102"/>
      <c r="M27" s="103"/>
      <c r="N27" s="44"/>
      <c r="O27" s="44"/>
      <c r="P27" s="44"/>
    </row>
    <row r="28" spans="2:16" x14ac:dyDescent="0.25">
      <c r="B28" s="57"/>
      <c r="C28" s="54"/>
      <c r="D28" s="58"/>
      <c r="E28" s="58"/>
      <c r="F28" s="58"/>
      <c r="G28" s="58"/>
      <c r="H28" s="58"/>
      <c r="I28" s="58"/>
      <c r="J28" s="58"/>
      <c r="K28" s="58"/>
      <c r="L28" s="102"/>
      <c r="M28" s="103"/>
      <c r="N28" s="44"/>
      <c r="O28" s="44"/>
      <c r="P28" s="44"/>
    </row>
    <row r="29" spans="2:16" x14ac:dyDescent="0.25">
      <c r="B29" s="57"/>
      <c r="C29" s="54"/>
      <c r="D29" s="58"/>
      <c r="E29" s="58"/>
      <c r="F29" s="58"/>
      <c r="G29" s="58"/>
      <c r="H29" s="58"/>
      <c r="I29" s="58"/>
      <c r="J29" s="58"/>
      <c r="K29" s="58"/>
      <c r="L29" s="102"/>
      <c r="M29" s="103"/>
      <c r="N29" s="44"/>
      <c r="O29" s="44"/>
      <c r="P29" s="44"/>
    </row>
    <row r="30" spans="2:16" x14ac:dyDescent="0.25">
      <c r="B30" s="57"/>
      <c r="C30" s="54"/>
      <c r="D30" s="58"/>
      <c r="E30" s="58"/>
      <c r="F30" s="58"/>
      <c r="G30" s="58"/>
      <c r="H30" s="58"/>
      <c r="I30" s="58"/>
      <c r="J30" s="58"/>
      <c r="K30" s="58"/>
      <c r="L30" s="102"/>
      <c r="M30" s="103"/>
      <c r="N30" s="44"/>
      <c r="O30" s="44"/>
      <c r="P30" s="44"/>
    </row>
    <row r="31" spans="2:16" x14ac:dyDescent="0.25">
      <c r="B31" s="57"/>
      <c r="C31" s="54"/>
      <c r="D31" s="58"/>
      <c r="E31" s="58"/>
      <c r="F31" s="58"/>
      <c r="G31" s="58"/>
      <c r="H31" s="58"/>
      <c r="I31" s="58"/>
      <c r="J31" s="58"/>
      <c r="K31" s="58"/>
      <c r="L31" s="102"/>
      <c r="M31" s="103"/>
      <c r="N31" s="44"/>
      <c r="O31" s="44"/>
      <c r="P31" s="44"/>
    </row>
    <row r="32" spans="2:16" x14ac:dyDescent="0.25">
      <c r="B32" s="57"/>
      <c r="C32" s="59"/>
      <c r="D32" s="58"/>
      <c r="E32" s="58"/>
      <c r="F32" s="58"/>
      <c r="G32" s="58"/>
      <c r="H32" s="58"/>
      <c r="I32" s="58"/>
      <c r="J32" s="58"/>
      <c r="K32" s="58"/>
      <c r="L32" s="102"/>
      <c r="M32" s="103"/>
      <c r="N32" s="44"/>
      <c r="O32" s="44"/>
      <c r="P32" s="44"/>
    </row>
    <row r="33" spans="2:16" x14ac:dyDescent="0.25">
      <c r="B33" s="57"/>
      <c r="C33" s="59"/>
      <c r="D33" s="58"/>
      <c r="E33" s="58"/>
      <c r="F33" s="58"/>
      <c r="G33" s="58"/>
      <c r="H33" s="58"/>
      <c r="I33" s="58"/>
      <c r="J33" s="58"/>
      <c r="K33" s="58"/>
      <c r="L33" s="102"/>
      <c r="M33" s="103"/>
      <c r="N33" s="44"/>
      <c r="O33" s="44"/>
      <c r="P33" s="44"/>
    </row>
    <row r="34" spans="2:16" x14ac:dyDescent="0.25">
      <c r="B34" s="57"/>
      <c r="C34" s="59"/>
      <c r="D34" s="58"/>
      <c r="E34" s="58"/>
      <c r="F34" s="58"/>
      <c r="G34" s="58"/>
      <c r="H34" s="58"/>
      <c r="I34" s="58"/>
      <c r="J34" s="58"/>
      <c r="K34" s="58"/>
      <c r="L34" s="102"/>
      <c r="M34" s="103"/>
      <c r="N34" s="44"/>
      <c r="O34" s="44"/>
      <c r="P34" s="44"/>
    </row>
    <row r="35" spans="2:16" x14ac:dyDescent="0.25">
      <c r="B35" s="57"/>
      <c r="C35" s="59"/>
      <c r="D35" s="58"/>
      <c r="E35" s="58"/>
      <c r="F35" s="58"/>
      <c r="G35" s="58"/>
      <c r="H35" s="58"/>
      <c r="I35" s="58"/>
      <c r="J35" s="58"/>
      <c r="K35" s="58"/>
      <c r="L35" s="102"/>
      <c r="M35" s="103"/>
      <c r="N35" s="44"/>
      <c r="O35" s="44"/>
      <c r="P35" s="44"/>
    </row>
    <row r="36" spans="2:16" x14ac:dyDescent="0.25">
      <c r="B36" s="57"/>
      <c r="C36" s="59"/>
      <c r="D36" s="58"/>
      <c r="E36" s="58"/>
      <c r="F36" s="58"/>
      <c r="G36" s="58"/>
      <c r="H36" s="58"/>
      <c r="I36" s="58"/>
      <c r="J36" s="58"/>
      <c r="K36" s="58"/>
      <c r="L36" s="102"/>
      <c r="M36" s="103"/>
      <c r="N36" s="44"/>
      <c r="O36" s="44"/>
      <c r="P36" s="44"/>
    </row>
    <row r="37" spans="2:16" x14ac:dyDescent="0.25">
      <c r="B37" s="57"/>
      <c r="C37" s="59"/>
      <c r="D37" s="58"/>
      <c r="E37" s="58"/>
      <c r="F37" s="58"/>
      <c r="G37" s="58"/>
      <c r="H37" s="58"/>
      <c r="I37" s="58"/>
      <c r="J37" s="58"/>
      <c r="K37" s="58"/>
      <c r="L37" s="102"/>
      <c r="M37" s="103"/>
      <c r="N37" s="44"/>
      <c r="O37" s="44"/>
      <c r="P37" s="44"/>
    </row>
  </sheetData>
  <mergeCells count="39">
    <mergeCell ref="L7:M7"/>
    <mergeCell ref="B2:K2"/>
    <mergeCell ref="E3:K3"/>
    <mergeCell ref="B4:B5"/>
    <mergeCell ref="C4:C5"/>
    <mergeCell ref="L6:M6"/>
    <mergeCell ref="L19:M19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20:M20"/>
    <mergeCell ref="L21:M21"/>
    <mergeCell ref="L22:M22"/>
    <mergeCell ref="L23:M23"/>
    <mergeCell ref="L24:M24"/>
    <mergeCell ref="L34:M34"/>
    <mergeCell ref="L35:M35"/>
    <mergeCell ref="L36:M36"/>
    <mergeCell ref="L37:M37"/>
    <mergeCell ref="L26:M26"/>
    <mergeCell ref="L27:M27"/>
    <mergeCell ref="L28:M28"/>
    <mergeCell ref="L29:M29"/>
    <mergeCell ref="L30:M30"/>
    <mergeCell ref="L31:M31"/>
    <mergeCell ref="B24:C24"/>
    <mergeCell ref="B25:C25"/>
    <mergeCell ref="B26:C26"/>
    <mergeCell ref="L32:M32"/>
    <mergeCell ref="L33:M33"/>
    <mergeCell ref="L25:M25"/>
  </mergeCells>
  <conditionalFormatting sqref="L6:L37">
    <cfRule type="cellIs" dxfId="3" priority="1" operator="equal">
      <formula>"DONE"</formula>
    </cfRule>
  </conditionalFormatting>
  <conditionalFormatting sqref="L6:M37">
    <cfRule type="cellIs" dxfId="2" priority="2" operator="equal">
      <formula>"NOT ENOUGH WORK YET"</formula>
    </cfRule>
    <cfRule type="cellIs" dxfId="1" priority="3" operator="equal">
      <formula>"ERROR TO MUCH WORK"</formula>
    </cfRule>
    <cfRule type="cellIs" dxfId="0" priority="5" operator="equal">
      <formula>"NOT STARTED"</formula>
    </cfRule>
  </conditionalFormatting>
  <conditionalFormatting sqref="N6:N37">
    <cfRule type="colorScale" priority="4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Burndown Chart Sprint1</vt:lpstr>
      <vt:lpstr>Burndown Chart Sprint2</vt:lpstr>
      <vt:lpstr>Burndown Chart Sprint3</vt:lpstr>
      <vt:lpstr>Burndown Chart Sprint4</vt:lpstr>
      <vt:lpstr>Burndown Chart Sprint5</vt:lpstr>
      <vt:lpstr>Burndown Chart Sprint6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Teodoro da Silva</cp:lastModifiedBy>
  <dcterms:modified xsi:type="dcterms:W3CDTF">2025-11-24T01:02:23Z</dcterms:modified>
</cp:coreProperties>
</file>