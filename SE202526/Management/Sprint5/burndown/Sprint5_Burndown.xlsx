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3D2838C4-7DB1-4AEA-A570-91064AED1E01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2" i="5" l="1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<sst xmlns="http://schemas.openxmlformats.org/spreadsheetml/2006/main" count="213" uniqueCount="86">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</sst>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</cellXfs>
  <cellStyles count="1">
    <cellStyle name="Normal" xfId="0" builtinId="0"/>
  </cellStyles>
  <dxfs count="12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2.6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1.2000000000000006</c:v>
                </c:pt>
                <c:pt idx="7">
                  <c:v>1.2000000000000006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/>
      <c r="R2" s="1"/>
    </row>
    <row r="3" spans="2:18" ht="14.25" customHeight="1" x14ac:dyDescent="0.35">
      <c r="B3" s="2"/>
      <c r="C3" s="3"/>
      <c r="D3" s="3"/>
      <c r="E3" s="62" t="s">
        <v>1</v>
      </c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4"/>
    </row>
    <row r="4" spans="2:18" ht="14.25" customHeight="1" x14ac:dyDescent="0.35">
      <c r="B4" s="64" t="s">
        <v>2</v>
      </c>
      <c r="C4" s="66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8" t="s">
        <v>24</v>
      </c>
      <c r="C12" s="69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55" t="s">
        <v>25</v>
      </c>
      <c r="C13" s="56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57" t="s">
        <v>26</v>
      </c>
      <c r="C14" s="58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70" t="s">
        <v>27</v>
      </c>
      <c r="C2" s="60"/>
      <c r="D2" s="60"/>
      <c r="E2" s="60"/>
      <c r="F2" s="60"/>
      <c r="G2" s="60"/>
      <c r="H2" s="60"/>
      <c r="I2" s="60"/>
      <c r="J2" s="60"/>
      <c r="K2" s="61"/>
      <c r="M2" s="1"/>
    </row>
    <row r="3" spans="2:13" ht="14.25" customHeight="1" x14ac:dyDescent="0.35">
      <c r="B3" s="2"/>
      <c r="C3" s="3"/>
      <c r="D3" s="3"/>
      <c r="E3" s="62" t="s">
        <v>1</v>
      </c>
      <c r="F3" s="63"/>
      <c r="G3" s="63"/>
      <c r="H3" s="63"/>
      <c r="I3" s="63"/>
      <c r="J3" s="63"/>
      <c r="K3" s="63"/>
      <c r="L3" s="4"/>
    </row>
    <row r="4" spans="2:13" ht="14.25" customHeight="1" x14ac:dyDescent="0.35">
      <c r="B4" s="64" t="s">
        <v>2</v>
      </c>
      <c r="C4" s="66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8" t="s">
        <v>24</v>
      </c>
      <c r="C15" s="69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55" t="s">
        <v>25</v>
      </c>
      <c r="C16" s="56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57" t="s">
        <v>35</v>
      </c>
      <c r="C17" s="58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D40" sqref="D40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70" t="s">
        <v>36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2:16" ht="14.25" customHeight="1" x14ac:dyDescent="0.35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2:16" ht="14.25" customHeight="1" x14ac:dyDescent="0.35">
      <c r="B4" s="64" t="s">
        <v>2</v>
      </c>
      <c r="C4" s="66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71" t="str">
        <f t="shared" ref="L6:L37" si="0">IF(N6=0, "NOT STARTED",IF(N6&gt;D6, "ERROR TO MUCH WORK", IF(N6=D6, "DONE", "NOT ENOUGH WORK YET")))</f>
        <v>DONE</v>
      </c>
      <c r="M6" s="72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71" t="str">
        <f t="shared" si="0"/>
        <v>NOT ENOUGH WORK YET</v>
      </c>
      <c r="M7" s="72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71" t="str">
        <f t="shared" si="0"/>
        <v>DONE</v>
      </c>
      <c r="M8" s="72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71" t="str">
        <f t="shared" si="0"/>
        <v>DONE</v>
      </c>
      <c r="M9" s="72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71" t="str">
        <f t="shared" si="0"/>
        <v>DONE</v>
      </c>
      <c r="M10" s="72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71" t="str">
        <f t="shared" si="0"/>
        <v>DONE</v>
      </c>
      <c r="M11" s="72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71" t="str">
        <f t="shared" si="0"/>
        <v>NOT ENOUGH WORK YET</v>
      </c>
      <c r="M12" s="72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71" t="str">
        <f t="shared" si="0"/>
        <v>DONE</v>
      </c>
      <c r="M13" s="72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71" t="str">
        <f t="shared" si="0"/>
        <v>NOT ENOUGH WORK YET</v>
      </c>
      <c r="M14" s="72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71" t="str">
        <f t="shared" si="0"/>
        <v>NOT ENOUGH WORK YET</v>
      </c>
      <c r="M15" s="72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71" t="str">
        <f t="shared" si="0"/>
        <v>NOT ENOUGH WORK YET</v>
      </c>
      <c r="M16" s="72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71" t="str">
        <f t="shared" si="0"/>
        <v>NOT ENOUGH WORK YET</v>
      </c>
      <c r="M17" s="72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71" t="str">
        <f t="shared" si="0"/>
        <v>NOT STARTED</v>
      </c>
      <c r="M18" s="72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71" t="str">
        <f t="shared" si="0"/>
        <v>NOT ENOUGH WORK YET</v>
      </c>
      <c r="M19" s="72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71" t="str">
        <f t="shared" si="0"/>
        <v>DONE</v>
      </c>
      <c r="M20" s="72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71" t="str">
        <f t="shared" si="0"/>
        <v>DONE</v>
      </c>
      <c r="M21" s="72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71" t="str">
        <f t="shared" si="0"/>
        <v>DONE</v>
      </c>
      <c r="M22" s="72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71" t="str">
        <f t="shared" si="0"/>
        <v>NOT ENOUGH WORK YET</v>
      </c>
      <c r="M23" s="72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71" t="str">
        <f t="shared" si="0"/>
        <v>NOT STARTED</v>
      </c>
      <c r="M24" s="72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71" t="str">
        <f t="shared" si="0"/>
        <v>NOT ENOUGH WORK YET</v>
      </c>
      <c r="M25" s="72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71" t="str">
        <f t="shared" si="0"/>
        <v>DONE</v>
      </c>
      <c r="M26" s="72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71" t="str">
        <f t="shared" si="0"/>
        <v>DONE</v>
      </c>
      <c r="M27" s="72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71" t="str">
        <f t="shared" si="0"/>
        <v>DONE</v>
      </c>
      <c r="M28" s="72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71" t="str">
        <f t="shared" si="0"/>
        <v>NOT ENOUGH WORK YET</v>
      </c>
      <c r="M29" s="72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71" t="str">
        <f t="shared" si="0"/>
        <v>NOT STARTED</v>
      </c>
      <c r="M30" s="72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71" t="str">
        <f t="shared" si="0"/>
        <v>NOT ENOUGH WORK YET</v>
      </c>
      <c r="M31" s="72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71" t="str">
        <f t="shared" si="0"/>
        <v>NOT ENOUGH WORK YET</v>
      </c>
      <c r="M32" s="72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71" t="str">
        <f t="shared" si="0"/>
        <v>NOT ENOUGH WORK YET</v>
      </c>
      <c r="M33" s="72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71" t="str">
        <f t="shared" si="0"/>
        <v>NOT ENOUGH WORK YET</v>
      </c>
      <c r="M34" s="72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71" t="str">
        <f t="shared" si="0"/>
        <v>NOT STARTED</v>
      </c>
      <c r="M35" s="72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71" t="str">
        <f t="shared" si="0"/>
        <v>NOT STARTED</v>
      </c>
      <c r="M36" s="72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71" t="str">
        <f t="shared" si="0"/>
        <v>NOT ENOUGH WORK YET</v>
      </c>
      <c r="M37" s="72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8" t="s">
        <v>24</v>
      </c>
      <c r="C38" s="69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55" t="s">
        <v>25</v>
      </c>
      <c r="C39" s="56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57" t="s">
        <v>74</v>
      </c>
      <c r="C40" s="58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11" priority="1" operator="equal">
      <formula>"DONE"</formula>
    </cfRule>
  </conditionalFormatting>
  <conditionalFormatting sqref="L6:M37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3" workbookViewId="0">
      <selection activeCell="D28" sqref="D28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70" t="s">
        <v>36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1:16" ht="14.25" customHeight="1" x14ac:dyDescent="0.35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1:16" ht="14.25" customHeight="1" x14ac:dyDescent="0.35">
      <c r="B4" s="64" t="s">
        <v>2</v>
      </c>
      <c r="C4" s="66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71" t="str">
        <f t="shared" ref="L6:L25" si="0">IF(N6=0, "NOT STARTED",IF(N6&gt;D6, "ERROR TO MUCH WORK", IF(N6=D6, "DONE", "NOT ENOUGH WORK YET")))</f>
        <v>NOT ENOUGH WORK YET</v>
      </c>
      <c r="M6" s="72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71" t="str">
        <f t="shared" si="0"/>
        <v>NOT ENOUGH WORK YET</v>
      </c>
      <c r="M7" s="72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71" t="str">
        <f t="shared" si="0"/>
        <v>NOT ENOUGH WORK YET</v>
      </c>
      <c r="M8" s="72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71" t="str">
        <f t="shared" si="0"/>
        <v>NOT ENOUGH WORK YET</v>
      </c>
      <c r="M9" s="72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71" t="str">
        <f t="shared" si="0"/>
        <v>NOT ENOUGH WORK YET</v>
      </c>
      <c r="M10" s="72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71" t="str">
        <f t="shared" si="0"/>
        <v>NOT ENOUGH WORK YET</v>
      </c>
      <c r="M11" s="72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71" t="str">
        <f t="shared" si="0"/>
        <v>NOT STARTED</v>
      </c>
      <c r="M12" s="72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71" t="str">
        <f t="shared" si="0"/>
        <v>NOT ENOUGH WORK YET</v>
      </c>
      <c r="M13" s="72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71" t="str">
        <f t="shared" si="0"/>
        <v>NOT ENOUGH WORK YET</v>
      </c>
      <c r="M14" s="72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71" t="str">
        <f t="shared" si="0"/>
        <v>NOT STARTED</v>
      </c>
      <c r="M15" s="72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71" t="str">
        <f t="shared" si="0"/>
        <v>NOT ENOUGH WORK YET</v>
      </c>
      <c r="M16" s="72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71" t="str">
        <f t="shared" si="0"/>
        <v>NOT ENOUGH WORK YET</v>
      </c>
      <c r="M17" s="72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71" t="str">
        <f t="shared" si="0"/>
        <v>NOT STARTED</v>
      </c>
      <c r="M18" s="72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71" t="str">
        <f t="shared" si="0"/>
        <v>NOT ENOUGH WORK YET</v>
      </c>
      <c r="M19" s="72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71" t="str">
        <f t="shared" si="0"/>
        <v>NOT ENOUGH WORK YET</v>
      </c>
      <c r="M20" s="72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71" t="str">
        <f t="shared" si="0"/>
        <v>NOT ENOUGH WORK YET</v>
      </c>
      <c r="M21" s="72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71" t="str">
        <f t="shared" si="0"/>
        <v>NOT ENOUGH WORK YET</v>
      </c>
      <c r="M22" s="72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71" t="str">
        <f t="shared" si="0"/>
        <v>NOT STARTED</v>
      </c>
      <c r="M23" s="72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71" t="str">
        <f t="shared" si="0"/>
        <v>NOT STARTED</v>
      </c>
      <c r="M24" s="72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71" t="str">
        <f t="shared" si="0"/>
        <v>NOT ENOUGH WORK YET</v>
      </c>
      <c r="M25" s="72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8" t="s">
        <v>24</v>
      </c>
      <c r="C26" s="69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55" t="s">
        <v>25</v>
      </c>
      <c r="C27" s="56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57" t="s">
        <v>76</v>
      </c>
      <c r="C28" s="58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B28:C28"/>
    <mergeCell ref="L18:M18"/>
    <mergeCell ref="L19:M19"/>
    <mergeCell ref="L20:M20"/>
    <mergeCell ref="L21:M21"/>
    <mergeCell ref="L22:M22"/>
    <mergeCell ref="L23:M23"/>
    <mergeCell ref="L24:M24"/>
  </mergeCells>
  <conditionalFormatting sqref="L6:L25">
    <cfRule type="cellIs" dxfId="7" priority="1" operator="equal">
      <formula>"DONE"</formula>
    </cfRule>
  </conditionalFormatting>
  <conditionalFormatting sqref="L6:M25">
    <cfRule type="cellIs" dxfId="6" priority="2" operator="equal">
      <formula>"NOT ENOUGH WORK YET"</formula>
    </cfRule>
    <cfRule type="cellIs" dxfId="5" priority="3" operator="equal">
      <formula>"ERROR TO MUCH WORK"</formula>
    </cfRule>
    <cfRule type="cellIs" dxfId="4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abSelected="1" workbookViewId="0">
      <selection activeCell="L16" sqref="L16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70" t="s">
        <v>79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2:16" ht="14.25" customHeight="1" thickBot="1" x14ac:dyDescent="0.4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2:16" ht="14.25" customHeight="1" x14ac:dyDescent="0.35">
      <c r="B4" s="64" t="s">
        <v>2</v>
      </c>
      <c r="C4" s="66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71" t="str">
        <f t="shared" ref="L6:L10" si="0">IF(N6=0, "NOT STARTED",IF(N6&gt;D6, "ERROR TO MUCH WORK", IF(N6=D6, "DONE", "NOT ENOUGH WORK YET")))</f>
        <v>DONE</v>
      </c>
      <c r="M6" s="72"/>
      <c r="N6" s="44">
        <f t="shared" ref="N6:N10" si="1">SUM(E6:K6)</f>
        <v>2</v>
      </c>
      <c r="O6" s="44"/>
      <c r="P6" s="44"/>
    </row>
    <row r="7" spans="2:16" ht="14.25" customHeight="1" x14ac:dyDescent="0.3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/>
      <c r="K7" s="22"/>
      <c r="L7" s="71" t="str">
        <f t="shared" si="0"/>
        <v>NOT ENOUGH WORK YET</v>
      </c>
      <c r="M7" s="72"/>
      <c r="N7" s="44">
        <f t="shared" si="1"/>
        <v>1.5</v>
      </c>
      <c r="O7" s="44"/>
      <c r="P7" s="44"/>
    </row>
    <row r="8" spans="2:16" ht="14.25" customHeight="1" x14ac:dyDescent="0.3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/>
      <c r="K8" s="22"/>
      <c r="L8" s="71" t="str">
        <f t="shared" si="0"/>
        <v>NOT ENOUGH WORK YET</v>
      </c>
      <c r="M8" s="72"/>
      <c r="N8" s="44">
        <f t="shared" si="1"/>
        <v>1.9</v>
      </c>
      <c r="O8" s="44"/>
      <c r="P8" s="44"/>
    </row>
    <row r="9" spans="2:16" ht="14.25" customHeight="1" thickBot="1" x14ac:dyDescent="0.4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71" t="str">
        <f t="shared" si="0"/>
        <v>DONE</v>
      </c>
      <c r="M9" s="72"/>
      <c r="N9" s="44">
        <f t="shared" si="1"/>
        <v>2</v>
      </c>
      <c r="O9" s="44"/>
      <c r="P9" s="44"/>
    </row>
    <row r="10" spans="2:16" ht="14.25" customHeight="1" x14ac:dyDescent="0.3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71" t="str">
        <f t="shared" si="0"/>
        <v>DONE</v>
      </c>
      <c r="M10" s="72"/>
      <c r="N10" s="44">
        <f t="shared" si="1"/>
        <v>3</v>
      </c>
      <c r="O10" s="44"/>
      <c r="P10" s="44"/>
    </row>
    <row r="11" spans="2:16" ht="14.25" customHeight="1" x14ac:dyDescent="0.3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73" t="str">
        <f>IF(N11=0, "NOT STARTED",IF(N11&gt;D11, "ERROR TO MUCH WORK", IF(N11=D11, "DONE", "NOT ENOUGH WORK YET")))</f>
        <v>DONE</v>
      </c>
      <c r="M11" s="74"/>
      <c r="N11" s="44">
        <f>SUM(E11:K11)</f>
        <v>2</v>
      </c>
      <c r="O11" s="44"/>
      <c r="P11" s="44"/>
    </row>
    <row r="12" spans="2:16" ht="14.25" customHeight="1" x14ac:dyDescent="0.3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/>
      <c r="L12" s="71" t="str">
        <f t="shared" ref="L12" si="2">IF(N12=0, "NOT STARTED",IF(N12&gt;D12, "ERROR TO MUCH WORK", IF(N12=D12, "DONE", "NOT ENOUGH WORK YET")))</f>
        <v>NOT ENOUGH WORK YET</v>
      </c>
      <c r="M12" s="72"/>
      <c r="N12" s="44">
        <f t="shared" ref="N12" si="3">SUM(E12:K12)</f>
        <v>1</v>
      </c>
      <c r="O12" s="44"/>
      <c r="P12" s="44"/>
    </row>
    <row r="13" spans="2:16" ht="14.25" customHeight="1" thickBot="1" x14ac:dyDescent="0.4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73" t="str">
        <f>IF(N13=0, "NOT STARTED",IF(N13&gt;D13, "ERROR TO MUCH WORK", IF(N13=D13, "DONE", "NOT ENOUGH WORK YET")))</f>
        <v>DONE</v>
      </c>
      <c r="M13" s="74"/>
      <c r="N13" s="44">
        <f>SUM(E13:K13)</f>
        <v>1</v>
      </c>
      <c r="O13" s="44"/>
      <c r="P13" s="44"/>
    </row>
    <row r="14" spans="2:16" ht="14.25" customHeight="1" x14ac:dyDescent="0.35">
      <c r="B14" s="68" t="s">
        <v>24</v>
      </c>
      <c r="C14" s="69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2.6</v>
      </c>
      <c r="K14" s="28">
        <f t="shared" si="4"/>
        <v>0</v>
      </c>
    </row>
    <row r="15" spans="2:16" ht="14.25" customHeight="1" x14ac:dyDescent="0.35">
      <c r="B15" s="55" t="s">
        <v>25</v>
      </c>
      <c r="C15" s="56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1.2000000000000006</v>
      </c>
      <c r="K15" s="36">
        <f t="shared" si="5"/>
        <v>1.2000000000000006</v>
      </c>
    </row>
    <row r="16" spans="2:16" ht="14.25" customHeight="1" thickBot="1" x14ac:dyDescent="0.4">
      <c r="B16" s="57" t="s">
        <v>26</v>
      </c>
      <c r="C16" s="58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</sheetData>
  <mergeCells count="15">
    <mergeCell ref="B2:K2"/>
    <mergeCell ref="E3:K3"/>
    <mergeCell ref="B4:B5"/>
    <mergeCell ref="C4:C5"/>
    <mergeCell ref="L6:M6"/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</mergeCells>
  <conditionalFormatting sqref="L6:L13">
    <cfRule type="cellIs" dxfId="3" priority="4" operator="equal">
      <formula>"DONE"</formula>
    </cfRule>
  </conditionalFormatting>
  <conditionalFormatting sqref="L6:M13">
    <cfRule type="cellIs" dxfId="2" priority="5" operator="equal">
      <formula>"NOT ENOUGH WORK YET"</formula>
    </cfRule>
    <cfRule type="cellIs" dxfId="1" priority="6" operator="equal">
      <formula>"ERROR TO MUCH WORK"</formula>
    </cfRule>
    <cfRule type="cellIs" dxfId="0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2025-11-15T18:09:14Z</dcterms:modified>
</cp:coreProperties>
</file>